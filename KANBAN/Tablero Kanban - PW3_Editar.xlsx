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secito/Desktop/ANALISIS/JoseLeiton_30724_G0_ADSW/KANBAN/"/>
    </mc:Choice>
  </mc:AlternateContent>
  <xr:revisionPtr revIDLastSave="0" documentId="13_ncr:1_{281CA1F2-BEFC-654D-8474-2D86EFFB22A6}" xr6:coauthVersionLast="47" xr6:coauthVersionMax="47" xr10:uidLastSave="{00000000-0000-0000-0000-000000000000}"/>
  <workbookProtection lockStructure="1"/>
  <bookViews>
    <workbookView xWindow="0" yWindow="660" windowWidth="30240" windowHeight="1898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D12" i="5" s="1" a="1"/>
  <c r="D12" i="5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" i="5" l="1" a="1"/>
  <c r="D6" i="5" s="1"/>
  <c r="D16" i="5" a="1"/>
  <c r="D16" i="5" s="1"/>
  <c r="D46" i="5" a="1"/>
  <c r="D46" i="5" s="1"/>
  <c r="D27" i="5" a="1"/>
  <c r="D27" i="5" s="1"/>
  <c r="D14" i="5" a="1"/>
  <c r="D14" i="5" s="1"/>
  <c r="D9" i="5" a="1"/>
  <c r="D9" i="5" s="1"/>
  <c r="D25" i="5" a="1"/>
  <c r="D25" i="5" s="1"/>
  <c r="D39" i="5" a="1"/>
  <c r="D39" i="5" s="1"/>
  <c r="D31" i="5" a="1"/>
  <c r="D31" i="5" s="1"/>
  <c r="D34" i="5" a="1"/>
  <c r="D34" i="5" s="1"/>
  <c r="D24" i="5" a="1"/>
  <c r="D24" i="5" s="1"/>
  <c r="D22" i="5" a="1"/>
  <c r="D22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39" i="5"/>
  <c r="K72" i="5"/>
  <c r="K40" i="5"/>
  <c r="K93" i="5"/>
  <c r="K20" i="5"/>
  <c r="K77" i="5"/>
  <c r="K65" i="5"/>
  <c r="K43" i="5"/>
  <c r="K54" i="5"/>
  <c r="K84" i="5"/>
  <c r="K73" i="5"/>
  <c r="K26" i="5"/>
  <c r="K80" i="5"/>
  <c r="K17" i="5"/>
  <c r="K49" i="5"/>
  <c r="K97" i="5"/>
  <c r="K70" i="5"/>
  <c r="K10" i="5"/>
  <c r="K74" i="5"/>
  <c r="K75" i="5"/>
  <c r="K88" i="5"/>
  <c r="K81" i="5"/>
  <c r="K47" i="5"/>
  <c r="K98" i="5"/>
  <c r="K22" i="5"/>
  <c r="K59" i="5"/>
  <c r="K8" i="5"/>
  <c r="K13" i="5"/>
  <c r="K7" i="5"/>
  <c r="K76" i="5"/>
  <c r="K86" i="5"/>
  <c r="K51" i="5"/>
  <c r="K52" i="5"/>
  <c r="K60" i="5"/>
  <c r="K37" i="5"/>
  <c r="K42" i="5"/>
  <c r="K68" i="5"/>
  <c r="K62" i="5"/>
  <c r="K64" i="5"/>
  <c r="K53" i="5"/>
  <c r="K31" i="5"/>
  <c r="K18" i="5"/>
  <c r="K46" i="5"/>
  <c r="K36" i="5"/>
  <c r="K89" i="5"/>
  <c r="K82" i="5"/>
  <c r="K71" i="5"/>
  <c r="K87" i="5"/>
  <c r="K19" i="5"/>
  <c r="K16" i="5"/>
  <c r="K90" i="5"/>
  <c r="K29" i="5"/>
  <c r="K66" i="5"/>
  <c r="K85" i="5"/>
  <c r="K27" i="5"/>
  <c r="K32" i="5"/>
  <c r="K45" i="5"/>
  <c r="K101" i="5"/>
  <c r="K67" i="5"/>
  <c r="K48" i="5"/>
  <c r="K94" i="5"/>
  <c r="K92" i="5"/>
  <c r="K100" i="5"/>
  <c r="K4" i="5"/>
  <c r="K21" i="5"/>
  <c r="K55" i="5"/>
  <c r="K96" i="5"/>
  <c r="K2" i="5"/>
  <c r="K34" i="5"/>
  <c r="K24" i="5"/>
  <c r="K78" i="5"/>
  <c r="K69" i="5"/>
  <c r="K83" i="5"/>
  <c r="K25" i="5"/>
  <c r="K91" i="5"/>
  <c r="K57" i="5"/>
  <c r="K99" i="5"/>
  <c r="K30" i="5"/>
  <c r="K3" i="5"/>
  <c r="K38" i="5"/>
  <c r="K15" i="5"/>
  <c r="K23" i="5"/>
  <c r="K6" i="5"/>
  <c r="K33" i="5"/>
  <c r="K61" i="5"/>
  <c r="K79" i="5"/>
  <c r="K11" i="5"/>
  <c r="K14" i="5"/>
  <c r="K44" i="5"/>
  <c r="K28" i="5"/>
  <c r="K41" i="5"/>
  <c r="K95" i="5"/>
  <c r="K12" i="5"/>
  <c r="K9" i="5"/>
  <c r="K56" i="5"/>
  <c r="K35" i="5"/>
  <c r="K50" i="5"/>
  <c r="K63" i="5"/>
  <c r="K5" i="5"/>
  <c r="K58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M19" i="5"/>
  <c r="L41" i="5"/>
  <c r="L78" i="5"/>
  <c r="M99" i="5"/>
  <c r="L84" i="5"/>
  <c r="N86" i="5"/>
  <c r="N2" i="5"/>
  <c r="L5" i="5"/>
  <c r="N91" i="5"/>
  <c r="L80" i="5"/>
  <c r="N38" i="5"/>
  <c r="M61" i="5"/>
  <c r="N48" i="5"/>
  <c r="M86" i="5"/>
  <c r="L77" i="5"/>
  <c r="L62" i="5"/>
  <c r="M41" i="5"/>
  <c r="M15" i="5"/>
  <c r="M64" i="5"/>
  <c r="N85" i="5"/>
  <c r="L10" i="5"/>
  <c r="M94" i="5"/>
  <c r="M2" i="5"/>
  <c r="L7" i="5"/>
  <c r="M28" i="5"/>
  <c r="L79" i="5"/>
  <c r="L71" i="5"/>
  <c r="N49" i="5"/>
  <c r="M16" i="5"/>
  <c r="M43" i="5"/>
  <c r="N17" i="5"/>
  <c r="L30" i="5"/>
  <c r="N100" i="5"/>
  <c r="L65" i="5"/>
  <c r="N61" i="5"/>
  <c r="L34" i="5"/>
  <c r="M44" i="5"/>
  <c r="M54" i="5"/>
  <c r="M74" i="5"/>
  <c r="N20" i="5"/>
  <c r="N68" i="5"/>
  <c r="L67" i="5"/>
  <c r="M98" i="5"/>
  <c r="M33" i="5"/>
  <c r="L42" i="5"/>
  <c r="M73" i="5"/>
  <c r="N40" i="5"/>
  <c r="N97" i="5"/>
  <c r="M31" i="5"/>
  <c r="N90" i="5"/>
  <c r="N79" i="5"/>
  <c r="N82" i="5"/>
  <c r="L39" i="5"/>
  <c r="N50" i="5"/>
  <c r="M39" i="5"/>
  <c r="N29" i="5"/>
  <c r="M13" i="5"/>
  <c r="L23" i="5"/>
  <c r="M97" i="5"/>
  <c r="M7" i="5"/>
  <c r="M66" i="5"/>
  <c r="M21" i="5"/>
  <c r="M45" i="5"/>
  <c r="L46" i="5"/>
  <c r="N74" i="5"/>
  <c r="M53" i="5"/>
  <c r="L27" i="5"/>
  <c r="L26" i="5"/>
  <c r="N57" i="5"/>
  <c r="N44" i="5"/>
  <c r="L13" i="5"/>
  <c r="N32" i="5"/>
  <c r="N81" i="5"/>
  <c r="N15" i="5"/>
  <c r="M59" i="5"/>
  <c r="L73" i="5"/>
  <c r="L90" i="5"/>
  <c r="N39" i="5"/>
  <c r="M63" i="5"/>
  <c r="M22" i="5"/>
  <c r="N42" i="5"/>
  <c r="L75" i="5"/>
  <c r="M30" i="5"/>
  <c r="L91" i="5"/>
  <c r="L97" i="5"/>
  <c r="M40" i="5"/>
  <c r="N77" i="5"/>
  <c r="M57" i="5"/>
  <c r="N35" i="5"/>
  <c r="L6" i="5"/>
  <c r="M75" i="5"/>
  <c r="N8" i="5"/>
  <c r="N66" i="5"/>
  <c r="L83" i="5"/>
  <c r="M90" i="5"/>
  <c r="N3" i="5"/>
  <c r="M78" i="5"/>
  <c r="M81" i="5"/>
  <c r="L85" i="5"/>
  <c r="M6" i="5"/>
  <c r="M18" i="5"/>
  <c r="L55" i="5"/>
  <c r="L66" i="5"/>
  <c r="M3" i="5"/>
  <c r="N64" i="5"/>
  <c r="M49" i="5"/>
  <c r="L14" i="5"/>
  <c r="L22" i="5"/>
  <c r="L11" i="5"/>
  <c r="M42" i="5"/>
  <c r="N7" i="5"/>
  <c r="N13" i="5"/>
  <c r="M9" i="5"/>
  <c r="L54" i="5"/>
  <c r="L95" i="5"/>
  <c r="M80" i="5"/>
  <c r="M96" i="5"/>
  <c r="L101" i="5"/>
  <c r="N36" i="5"/>
  <c r="L100" i="5"/>
  <c r="L45" i="5"/>
  <c r="M101" i="5"/>
  <c r="M29" i="5"/>
  <c r="N92" i="5"/>
  <c r="M72" i="5"/>
  <c r="M46" i="5"/>
  <c r="M82" i="5"/>
  <c r="N88" i="5"/>
  <c r="L52" i="5"/>
  <c r="L74" i="5"/>
  <c r="N73" i="5"/>
  <c r="N9" i="5"/>
  <c r="M11" i="5"/>
  <c r="N76" i="5"/>
  <c r="N84" i="5"/>
  <c r="N89" i="5"/>
  <c r="N98" i="5"/>
  <c r="M55" i="5"/>
  <c r="M71" i="5"/>
  <c r="N55" i="5"/>
  <c r="N11" i="5"/>
  <c r="L9" i="5"/>
  <c r="N47" i="5"/>
  <c r="N27" i="5"/>
  <c r="N93" i="5"/>
  <c r="M51" i="5"/>
  <c r="N78" i="5"/>
  <c r="L24" i="5"/>
  <c r="M69" i="5"/>
  <c r="N4" i="5"/>
  <c r="L70" i="5"/>
  <c r="M48" i="5"/>
  <c r="L47" i="5"/>
  <c r="M67" i="5"/>
  <c r="L32" i="5"/>
  <c r="N67" i="5"/>
  <c r="L58" i="5"/>
  <c r="L21" i="5"/>
  <c r="L36" i="5"/>
  <c r="N10" i="5"/>
  <c r="L87" i="5"/>
  <c r="M5" i="5"/>
  <c r="M47" i="5"/>
  <c r="M89" i="5"/>
  <c r="M77" i="5"/>
  <c r="L49" i="5"/>
  <c r="N25" i="5"/>
  <c r="L59" i="5"/>
  <c r="L99" i="5"/>
  <c r="N52" i="5"/>
  <c r="M20" i="5"/>
  <c r="L98" i="5"/>
  <c r="M88" i="5"/>
  <c r="L57" i="5"/>
  <c r="N83" i="5"/>
  <c r="L82" i="5"/>
  <c r="M76" i="5"/>
  <c r="L69" i="5"/>
  <c r="L53" i="5"/>
  <c r="M8" i="5"/>
  <c r="L33" i="5"/>
  <c r="M70" i="5"/>
  <c r="M26" i="5"/>
  <c r="N94" i="5"/>
  <c r="M32" i="5"/>
  <c r="N26" i="5"/>
  <c r="N23" i="5"/>
  <c r="N60" i="5"/>
  <c r="M58" i="5"/>
  <c r="L15" i="5"/>
  <c r="N41" i="5"/>
  <c r="N80" i="5"/>
  <c r="L28" i="5"/>
  <c r="L29" i="5"/>
  <c r="M93" i="5"/>
  <c r="L12" i="5"/>
  <c r="N59" i="5"/>
  <c r="L37" i="5"/>
  <c r="M24" i="5"/>
  <c r="L19" i="5"/>
  <c r="L38" i="5"/>
  <c r="N72" i="5"/>
  <c r="L60" i="5"/>
  <c r="L81" i="5"/>
  <c r="M50" i="5"/>
  <c r="N37" i="5"/>
  <c r="N95" i="5"/>
  <c r="M23" i="5"/>
  <c r="M14" i="5"/>
  <c r="N46" i="5"/>
  <c r="L68" i="5"/>
  <c r="M85" i="5"/>
  <c r="N63" i="5"/>
  <c r="L18" i="5"/>
  <c r="M17" i="5"/>
  <c r="L76" i="5"/>
  <c r="L72" i="5"/>
  <c r="L16" i="5"/>
  <c r="N87" i="5"/>
  <c r="M10" i="5"/>
  <c r="M62" i="5"/>
  <c r="M68" i="5"/>
  <c r="M4" i="5"/>
  <c r="L96" i="5"/>
  <c r="L48" i="5"/>
  <c r="L44" i="5"/>
  <c r="N12" i="5"/>
  <c r="N19" i="5"/>
  <c r="L56" i="5"/>
  <c r="L35" i="5"/>
  <c r="M34" i="5"/>
  <c r="L93" i="5"/>
  <c r="N56" i="5"/>
  <c r="M91" i="5"/>
  <c r="L61" i="5"/>
  <c r="N62" i="5"/>
  <c r="N14" i="5"/>
  <c r="L50" i="5"/>
  <c r="M60" i="5"/>
  <c r="M65" i="5"/>
  <c r="M37" i="5"/>
  <c r="L89" i="5"/>
  <c r="N24" i="5"/>
  <c r="N99" i="5"/>
  <c r="N21" i="5"/>
  <c r="L92" i="5"/>
  <c r="M83" i="5"/>
  <c r="L43" i="5"/>
  <c r="N22" i="5"/>
  <c r="N45" i="5"/>
  <c r="M12" i="5"/>
  <c r="N6" i="5"/>
  <c r="M35" i="5"/>
  <c r="N71" i="5"/>
  <c r="M25" i="5"/>
  <c r="L51" i="5"/>
  <c r="N34" i="5"/>
  <c r="L31" i="5"/>
  <c r="N31" i="5"/>
  <c r="N58" i="5"/>
  <c r="N43" i="5"/>
  <c r="M87" i="5"/>
  <c r="L8" i="5"/>
  <c r="M79" i="5"/>
  <c r="N101" i="5"/>
  <c r="N51" i="5"/>
  <c r="L17" i="5"/>
  <c r="M84" i="5"/>
  <c r="L2" i="5"/>
  <c r="N28" i="5"/>
  <c r="M56" i="5"/>
  <c r="L3" i="5"/>
  <c r="M52" i="5"/>
  <c r="N75" i="5"/>
  <c r="N53" i="5"/>
  <c r="N96" i="5"/>
  <c r="M38" i="5"/>
  <c r="N69" i="5"/>
  <c r="N33" i="5"/>
  <c r="L63" i="5"/>
  <c r="L86" i="5"/>
  <c r="N54" i="5"/>
  <c r="N65" i="5"/>
  <c r="N70" i="5"/>
  <c r="L4" i="5"/>
  <c r="M27" i="5"/>
  <c r="L40" i="5"/>
  <c r="L20" i="5"/>
  <c r="M95" i="5"/>
  <c r="L94" i="5"/>
  <c r="N30" i="5"/>
  <c r="M100" i="5"/>
  <c r="M36" i="5"/>
  <c r="L64" i="5"/>
  <c r="M92" i="5"/>
  <c r="L25" i="5"/>
  <c r="N18" i="5"/>
  <c r="L88" i="5"/>
  <c r="N16" i="5"/>
  <c r="N5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59" i="5"/>
  <c r="J88" i="5"/>
  <c r="J84" i="5"/>
  <c r="J81" i="5"/>
  <c r="J61" i="5"/>
  <c r="J40" i="5"/>
  <c r="J57" i="5"/>
  <c r="J30" i="5"/>
  <c r="J75" i="5"/>
  <c r="J11" i="5"/>
  <c r="J22" i="5"/>
  <c r="J83" i="5"/>
  <c r="J101" i="5"/>
  <c r="J87" i="5"/>
  <c r="J67" i="5"/>
  <c r="J17" i="5"/>
  <c r="J95" i="5"/>
  <c r="J33" i="5"/>
  <c r="J53" i="5"/>
  <c r="J45" i="5"/>
  <c r="J73" i="5"/>
  <c r="J46" i="5"/>
  <c r="J69" i="5"/>
  <c r="J50" i="5"/>
  <c r="J41" i="5"/>
  <c r="J89" i="5"/>
  <c r="J51" i="5"/>
  <c r="J64" i="5"/>
  <c r="J77" i="5"/>
  <c r="J14" i="5"/>
  <c r="J54" i="5"/>
  <c r="J4" i="5"/>
  <c r="J72" i="5"/>
  <c r="J56" i="5"/>
  <c r="J10" i="5"/>
  <c r="J90" i="5"/>
  <c r="J7" i="5"/>
  <c r="J65" i="5"/>
  <c r="J29" i="5"/>
  <c r="J24" i="5"/>
  <c r="J38" i="5"/>
  <c r="J98" i="5"/>
  <c r="J36" i="5"/>
  <c r="J74" i="5"/>
  <c r="J8" i="5"/>
  <c r="J26" i="5"/>
  <c r="J39" i="5"/>
  <c r="J58" i="5"/>
  <c r="J16" i="5"/>
  <c r="J25" i="5"/>
  <c r="J52" i="5"/>
  <c r="J47" i="5"/>
  <c r="J19" i="5"/>
  <c r="J5" i="5"/>
  <c r="J48" i="5"/>
  <c r="J44" i="5"/>
  <c r="J71" i="5"/>
  <c r="J99" i="5"/>
  <c r="J2" i="5"/>
  <c r="J63" i="5"/>
  <c r="J42" i="5"/>
  <c r="J32" i="5"/>
  <c r="J15" i="5"/>
  <c r="J96" i="5"/>
  <c r="J21" i="5"/>
  <c r="J37" i="5"/>
  <c r="J92" i="5"/>
  <c r="J23" i="5"/>
  <c r="J97" i="5"/>
  <c r="J60" i="5"/>
  <c r="J66" i="5"/>
  <c r="J6" i="5"/>
  <c r="J85" i="5"/>
  <c r="J93" i="5"/>
  <c r="J9" i="5"/>
  <c r="J62" i="5"/>
  <c r="J100" i="5"/>
  <c r="J80" i="5"/>
  <c r="J76" i="5"/>
  <c r="J34" i="5"/>
  <c r="J82" i="5"/>
  <c r="J35" i="5"/>
  <c r="J78" i="5"/>
  <c r="J27" i="5"/>
  <c r="J20" i="5"/>
  <c r="J18" i="5"/>
  <c r="J31" i="5"/>
  <c r="J70" i="5"/>
  <c r="J86" i="5"/>
  <c r="J55" i="5"/>
  <c r="J28" i="5"/>
  <c r="J91" i="5"/>
  <c r="J79" i="5"/>
  <c r="J12" i="5"/>
  <c r="J94" i="5"/>
  <c r="J43" i="5"/>
  <c r="J13" i="5"/>
  <c r="J3" i="5"/>
  <c r="J49" i="5"/>
  <c r="J68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71" i="5"/>
  <c r="G48" i="5"/>
  <c r="G13" i="5"/>
  <c r="G93" i="5"/>
  <c r="G87" i="5"/>
  <c r="G69" i="5"/>
  <c r="G56" i="5"/>
  <c r="G60" i="5"/>
  <c r="G16" i="5"/>
  <c r="G54" i="5"/>
  <c r="G64" i="5"/>
  <c r="G84" i="5"/>
  <c r="G77" i="5"/>
  <c r="G23" i="5"/>
  <c r="G27" i="5"/>
  <c r="G17" i="5"/>
  <c r="G61" i="5"/>
  <c r="G91" i="5"/>
  <c r="G68" i="5"/>
  <c r="G59" i="5"/>
  <c r="G83" i="5"/>
  <c r="G67" i="5"/>
  <c r="G28" i="5"/>
  <c r="G35" i="5"/>
  <c r="G92" i="5"/>
  <c r="G70" i="5"/>
  <c r="G12" i="5"/>
  <c r="G10" i="5"/>
  <c r="G78" i="5"/>
  <c r="G8" i="5"/>
  <c r="G11" i="5"/>
  <c r="G82" i="5"/>
  <c r="G9" i="5"/>
  <c r="G99" i="5"/>
  <c r="G40" i="5"/>
  <c r="G62" i="5"/>
  <c r="G79" i="5"/>
  <c r="G58" i="5"/>
  <c r="G88" i="5"/>
  <c r="G97" i="5"/>
  <c r="G30" i="5"/>
  <c r="G29" i="5"/>
  <c r="G65" i="5"/>
  <c r="G45" i="5"/>
  <c r="G57" i="5"/>
  <c r="G90" i="5"/>
  <c r="G43" i="5"/>
  <c r="G76" i="5"/>
  <c r="G7" i="5"/>
  <c r="G51" i="5"/>
  <c r="G81" i="5"/>
  <c r="G3" i="5"/>
  <c r="G53" i="5"/>
  <c r="G63" i="5"/>
  <c r="G52" i="5"/>
  <c r="G36" i="5"/>
  <c r="G49" i="5"/>
  <c r="G6" i="5"/>
  <c r="G24" i="5"/>
  <c r="G101" i="5"/>
  <c r="G39" i="5"/>
  <c r="G42" i="5"/>
  <c r="G73" i="5"/>
  <c r="G94" i="5"/>
  <c r="G86" i="5"/>
  <c r="G66" i="5"/>
  <c r="G5" i="5"/>
  <c r="G4" i="5"/>
  <c r="G18" i="5"/>
  <c r="G75" i="5"/>
  <c r="G46" i="5"/>
  <c r="G89" i="5"/>
  <c r="G33" i="5"/>
  <c r="G25" i="5"/>
  <c r="G96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55" i="5"/>
  <c r="G50" i="5"/>
  <c r="G44" i="5"/>
  <c r="G85" i="5"/>
  <c r="G19" i="5"/>
  <c r="G100" i="5"/>
  <c r="G26" i="5"/>
  <c r="G72" i="5"/>
  <c r="G20" i="5"/>
  <c r="G74" i="5"/>
  <c r="G98" i="5"/>
  <c r="G15" i="5"/>
  <c r="G41" i="5"/>
  <c r="G95" i="5"/>
  <c r="G80" i="5"/>
  <c r="G38" i="5"/>
  <c r="G31" i="5"/>
  <c r="G14" i="5"/>
  <c r="G22" i="5"/>
  <c r="G2" i="5"/>
  <c r="G37" i="5"/>
  <c r="G21" i="5"/>
  <c r="G32" i="5"/>
  <c r="G47" i="5"/>
  <c r="G34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90" i="5"/>
  <c r="F64" i="5"/>
  <c r="F42" i="5"/>
  <c r="F15" i="5"/>
  <c r="F54" i="5"/>
  <c r="F79" i="5"/>
  <c r="F80" i="5"/>
  <c r="F57" i="5"/>
  <c r="F44" i="5"/>
  <c r="F89" i="5"/>
  <c r="F58" i="5"/>
  <c r="F66" i="5"/>
  <c r="F81" i="5"/>
  <c r="F18" i="5"/>
  <c r="F33" i="5"/>
  <c r="F91" i="5"/>
  <c r="F98" i="5"/>
  <c r="F29" i="5"/>
  <c r="F92" i="5"/>
  <c r="F16" i="5"/>
  <c r="F43" i="5"/>
  <c r="F74" i="5"/>
  <c r="F9" i="5"/>
  <c r="F46" i="5"/>
  <c r="F75" i="5"/>
  <c r="F69" i="5"/>
  <c r="F31" i="5"/>
  <c r="F41" i="5"/>
  <c r="F8" i="5"/>
  <c r="F10" i="5"/>
  <c r="F27" i="5"/>
  <c r="F47" i="5"/>
  <c r="F56" i="5"/>
  <c r="F67" i="5"/>
  <c r="F49" i="5"/>
  <c r="F48" i="5"/>
  <c r="F86" i="5"/>
  <c r="F55" i="5"/>
  <c r="F51" i="5"/>
  <c r="F11" i="5"/>
  <c r="F60" i="5"/>
  <c r="F24" i="5"/>
  <c r="F26" i="5"/>
  <c r="F14" i="5"/>
  <c r="F20" i="5"/>
  <c r="F82" i="5"/>
  <c r="F13" i="5"/>
  <c r="F70" i="5"/>
  <c r="F3" i="5"/>
  <c r="F77" i="5"/>
  <c r="F28" i="5"/>
  <c r="F38" i="5"/>
  <c r="F35" i="5"/>
  <c r="F25" i="5"/>
  <c r="F84" i="5"/>
  <c r="F21" i="5"/>
  <c r="F2" i="5"/>
  <c r="F39" i="5"/>
  <c r="F34" i="5"/>
  <c r="F50" i="5"/>
  <c r="F36" i="5"/>
  <c r="F45" i="5"/>
  <c r="F40" i="5"/>
  <c r="F71" i="5"/>
  <c r="F61" i="5"/>
  <c r="F37" i="5"/>
  <c r="F95" i="5"/>
  <c r="F62" i="5"/>
  <c r="F100" i="5"/>
  <c r="F22" i="5"/>
  <c r="F5" i="5"/>
  <c r="F94" i="5"/>
  <c r="F101" i="5"/>
  <c r="F97" i="5"/>
  <c r="F30" i="5"/>
  <c r="F99" i="5"/>
  <c r="F78" i="5"/>
  <c r="F68" i="5"/>
  <c r="F53" i="5"/>
  <c r="F7" i="5"/>
  <c r="F4" i="5"/>
  <c r="F88" i="5"/>
  <c r="F32" i="5"/>
  <c r="F83" i="5"/>
  <c r="F12" i="5"/>
  <c r="F87" i="5"/>
  <c r="F85" i="5"/>
  <c r="F52" i="5"/>
  <c r="F63" i="5"/>
  <c r="F96" i="5"/>
  <c r="F19" i="5"/>
  <c r="F93" i="5"/>
  <c r="F17" i="5"/>
  <c r="F6" i="5"/>
  <c r="F59" i="5"/>
  <c r="F73" i="5"/>
  <c r="F76" i="5"/>
  <c r="F65" i="5"/>
  <c r="F23" i="5"/>
  <c r="F72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97" i="5"/>
  <c r="H98" i="5"/>
  <c r="H52" i="5"/>
  <c r="H65" i="5"/>
  <c r="H57" i="5"/>
  <c r="H25" i="5"/>
  <c r="H20" i="5"/>
  <c r="H16" i="5"/>
  <c r="H12" i="5"/>
  <c r="H10" i="5"/>
  <c r="H60" i="5"/>
  <c r="H51" i="5"/>
  <c r="H73" i="5"/>
  <c r="H62" i="5"/>
  <c r="H39" i="5"/>
  <c r="H54" i="5"/>
  <c r="H15" i="5"/>
  <c r="H29" i="5"/>
  <c r="H70" i="5"/>
  <c r="H28" i="5"/>
  <c r="H11" i="5"/>
  <c r="H5" i="5"/>
  <c r="H75" i="5"/>
  <c r="H43" i="5"/>
  <c r="H27" i="5"/>
  <c r="H72" i="5"/>
  <c r="H56" i="5"/>
  <c r="H44" i="5"/>
  <c r="H58" i="5"/>
  <c r="H79" i="5"/>
  <c r="H45" i="5"/>
  <c r="H31" i="5"/>
  <c r="H50" i="5"/>
  <c r="H85" i="5"/>
  <c r="H38" i="5"/>
  <c r="H83" i="5"/>
  <c r="H88" i="5"/>
  <c r="H96" i="5"/>
  <c r="H2" i="5"/>
  <c r="H47" i="5"/>
  <c r="H100" i="5"/>
  <c r="H95" i="5"/>
  <c r="H6" i="5"/>
  <c r="H80" i="5"/>
  <c r="H13" i="5"/>
  <c r="H82" i="5"/>
  <c r="H76" i="5"/>
  <c r="H30" i="5"/>
  <c r="H14" i="5"/>
  <c r="H55" i="5"/>
  <c r="H93" i="5"/>
  <c r="H26" i="5"/>
  <c r="H32" i="5"/>
  <c r="H33" i="5"/>
  <c r="H86" i="5"/>
  <c r="H41" i="5"/>
  <c r="H17" i="5"/>
  <c r="H42" i="5"/>
  <c r="H53" i="5"/>
  <c r="H23" i="5"/>
  <c r="H8" i="5"/>
  <c r="H9" i="5"/>
  <c r="H69" i="5"/>
  <c r="H35" i="5"/>
  <c r="H64" i="5"/>
  <c r="H49" i="5"/>
  <c r="H3" i="5"/>
  <c r="H19" i="5"/>
  <c r="H91" i="5"/>
  <c r="H46" i="5"/>
  <c r="H89" i="5"/>
  <c r="H71" i="5"/>
  <c r="H99" i="5"/>
  <c r="H34" i="5"/>
  <c r="H66" i="5"/>
  <c r="H84" i="5"/>
  <c r="H77" i="5"/>
  <c r="H48" i="5"/>
  <c r="H4" i="5"/>
  <c r="H87" i="5"/>
  <c r="H59" i="5"/>
  <c r="H37" i="5"/>
  <c r="H68" i="5"/>
  <c r="H101" i="5"/>
  <c r="H7" i="5"/>
  <c r="H67" i="5"/>
  <c r="H21" i="5"/>
  <c r="H90" i="5"/>
  <c r="H92" i="5"/>
  <c r="H63" i="5"/>
  <c r="H94" i="5"/>
  <c r="H18" i="5"/>
  <c r="H81" i="5"/>
  <c r="H24" i="5"/>
  <c r="H22" i="5"/>
  <c r="H40" i="5"/>
  <c r="H36" i="5"/>
  <c r="H78" i="5"/>
  <c r="H74" i="5"/>
  <c r="H61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62" i="5"/>
  <c r="I67" i="5"/>
  <c r="I93" i="5"/>
  <c r="I80" i="5"/>
  <c r="I65" i="5"/>
  <c r="I70" i="5"/>
  <c r="I15" i="5"/>
  <c r="I20" i="5"/>
  <c r="I91" i="5"/>
  <c r="I79" i="5"/>
  <c r="I63" i="5"/>
  <c r="I98" i="5"/>
  <c r="I94" i="5"/>
  <c r="I5" i="5"/>
  <c r="I90" i="5"/>
  <c r="I45" i="5"/>
  <c r="I96" i="5"/>
  <c r="I27" i="5"/>
  <c r="I81" i="5"/>
  <c r="I72" i="5"/>
  <c r="I83" i="5"/>
  <c r="I97" i="5"/>
  <c r="I25" i="5"/>
  <c r="I75" i="5"/>
  <c r="I4" i="5"/>
  <c r="I10" i="5"/>
  <c r="I76" i="5"/>
  <c r="I39" i="5"/>
  <c r="I26" i="5"/>
  <c r="I8" i="5"/>
  <c r="I43" i="5"/>
  <c r="I17" i="5"/>
  <c r="I32" i="5"/>
  <c r="I53" i="5"/>
  <c r="I6" i="5"/>
  <c r="I21" i="5"/>
  <c r="I85" i="5"/>
  <c r="I2" i="5"/>
  <c r="I100" i="5"/>
  <c r="I41" i="5"/>
  <c r="I50" i="5"/>
  <c r="I56" i="5"/>
  <c r="I69" i="5"/>
  <c r="I49" i="5"/>
  <c r="I66" i="5"/>
  <c r="I36" i="5"/>
  <c r="I55" i="5"/>
  <c r="I12" i="5"/>
  <c r="I14" i="5"/>
  <c r="I52" i="5"/>
  <c r="I74" i="5"/>
  <c r="I42" i="5"/>
  <c r="I38" i="5"/>
  <c r="I35" i="5"/>
  <c r="I23" i="5"/>
  <c r="I24" i="5"/>
  <c r="I7" i="5"/>
  <c r="I101" i="5"/>
  <c r="I95" i="5"/>
  <c r="I84" i="5"/>
  <c r="I40" i="5"/>
  <c r="I61" i="5"/>
  <c r="I77" i="5"/>
  <c r="I64" i="5"/>
  <c r="I86" i="5"/>
  <c r="I18" i="5"/>
  <c r="I88" i="5"/>
  <c r="I82" i="5"/>
  <c r="I13" i="5"/>
  <c r="I29" i="5"/>
  <c r="I78" i="5"/>
  <c r="I73" i="5"/>
  <c r="I60" i="5"/>
  <c r="I19" i="5"/>
  <c r="I89" i="5"/>
  <c r="I37" i="5"/>
  <c r="I9" i="5"/>
  <c r="I31" i="5"/>
  <c r="I47" i="5"/>
  <c r="I51" i="5"/>
  <c r="I34" i="5"/>
  <c r="I57" i="5"/>
  <c r="I28" i="5"/>
  <c r="I46" i="5"/>
  <c r="I44" i="5"/>
  <c r="I58" i="5"/>
  <c r="I71" i="5"/>
  <c r="I99" i="5"/>
  <c r="I59" i="5"/>
  <c r="I3" i="5"/>
  <c r="I33" i="5"/>
  <c r="I11" i="5"/>
  <c r="I16" i="5"/>
  <c r="I68" i="5"/>
  <c r="I22" i="5"/>
  <c r="I87" i="5"/>
  <c r="I92" i="5"/>
  <c r="I54" i="5"/>
  <c r="I48" i="5"/>
  <c r="I30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92" i="5"/>
  <c r="E47" i="5"/>
  <c r="E83" i="5"/>
  <c r="E80" i="5"/>
  <c r="E85" i="5"/>
  <c r="E10" i="5"/>
  <c r="E66" i="5"/>
  <c r="E57" i="5"/>
  <c r="E42" i="5"/>
  <c r="E61" i="5"/>
  <c r="E64" i="5"/>
  <c r="E3" i="5"/>
  <c r="E33" i="5"/>
  <c r="E17" i="5"/>
  <c r="E29" i="5"/>
  <c r="E54" i="5"/>
  <c r="E25" i="5"/>
  <c r="E32" i="5"/>
  <c r="E76" i="5"/>
  <c r="E60" i="5"/>
  <c r="E9" i="5"/>
  <c r="E100" i="5"/>
  <c r="E26" i="5"/>
  <c r="E44" i="5"/>
  <c r="E89" i="5"/>
  <c r="E77" i="5"/>
  <c r="E94" i="5"/>
  <c r="E62" i="5"/>
  <c r="E98" i="5"/>
  <c r="E23" i="5"/>
  <c r="E16" i="5"/>
  <c r="E20" i="5"/>
  <c r="E99" i="5"/>
  <c r="E91" i="5"/>
  <c r="E15" i="5"/>
  <c r="E63" i="5"/>
  <c r="E67" i="5"/>
  <c r="E59" i="5"/>
  <c r="E8" i="5"/>
  <c r="E4" i="5"/>
  <c r="E41" i="5"/>
  <c r="E27" i="5"/>
  <c r="E90" i="5"/>
  <c r="E22" i="5"/>
  <c r="E78" i="5"/>
  <c r="E97" i="5"/>
  <c r="E30" i="5"/>
  <c r="E12" i="5"/>
  <c r="E55" i="5"/>
  <c r="E73" i="5"/>
  <c r="E52" i="5"/>
  <c r="E21" i="5"/>
  <c r="E82" i="5"/>
  <c r="E79" i="5"/>
  <c r="E39" i="5"/>
  <c r="E49" i="5"/>
  <c r="E6" i="5"/>
  <c r="E24" i="5"/>
  <c r="E68" i="5"/>
  <c r="E40" i="5"/>
  <c r="E71" i="5"/>
  <c r="E2" i="5"/>
  <c r="E46" i="5"/>
  <c r="E34" i="5"/>
  <c r="E28" i="5"/>
  <c r="E43" i="5"/>
  <c r="E70" i="5"/>
  <c r="E48" i="5"/>
  <c r="E36" i="5"/>
  <c r="E95" i="5"/>
  <c r="E74" i="5"/>
  <c r="E13" i="5"/>
  <c r="E84" i="5"/>
  <c r="E87" i="5"/>
  <c r="E93" i="5"/>
  <c r="E101" i="5"/>
  <c r="E50" i="5"/>
  <c r="E75" i="5"/>
  <c r="E11" i="5"/>
  <c r="E37" i="5"/>
  <c r="E86" i="5"/>
  <c r="E53" i="5"/>
  <c r="E18" i="5"/>
  <c r="E51" i="5"/>
  <c r="E35" i="5"/>
  <c r="E56" i="5"/>
  <c r="E69" i="5"/>
  <c r="E19" i="5"/>
  <c r="E58" i="5"/>
  <c r="E14" i="5"/>
  <c r="E5" i="5"/>
  <c r="E7" i="5"/>
  <c r="E38" i="5"/>
  <c r="E88" i="5"/>
  <c r="E65" i="5"/>
  <c r="E72" i="5"/>
  <c r="E45" i="5"/>
  <c r="E96" i="5"/>
  <c r="E31" i="5"/>
  <c r="E81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<sst xmlns="http://schemas.openxmlformats.org/spreadsheetml/2006/main" count="324" uniqueCount="251">
  <si>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</si>
  <si>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</si>
  <si>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</si>
  <si>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</si>
  <si>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</si>
  <si>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</si>
  <si>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</si>
  <si>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</si>
  <si>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</si>
  <si>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</si>
  <si>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</si>
  <si>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</si>
  <si>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</si>
  <si>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</si>
  <si>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</si>
  <si>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</si>
  <si>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</si>
  <si>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</si>
  <si>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</si>
  <si>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</si>
  <si>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</si>
  <si>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</si>
  <si>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</si>
  <si>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</si>
  <si>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</si>
  <si>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</si>
  <si>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</si>
  <si>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</si>
  <si>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</si>
  <si>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</si>
  <si>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</si>
  <si>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</si>
  <si>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</si>
  <si>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</si>
  <si>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</si>
  <si>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</si>
  <si>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</si>
  <si>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</si>
  <si>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</si>
  <si>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</si>
  <si>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</si>
  <si>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</si>
  <si>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</si>
  <si>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</si>
  <si>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</si>
  <si>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</si>
  <si>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</si>
  <si>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</si>
  <si>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</si>
  <si>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</si>
  <si>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</si>
  <si>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</si>
  <si>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</si>
  <si>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</si>
  <si>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</si>
  <si>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</si>
  <si>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</si>
  <si>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</si>
  <si>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</si>
  <si>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</si>
  <si>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</si>
  <si>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</si>
  <si>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</si>
  <si>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</si>
  <si>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</si>
  <si>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</si>
  <si>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</si>
  <si>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</si>
  <si>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</si>
  <si>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</si>
  <si>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</si>
  <si>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</si>
  <si>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</si>
  <si>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</si>
  <si>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</si>
  <si>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</si>
  <si>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</si>
  <si>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</si>
  <si>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</si>
  <si>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</si>
  <si>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</si>
  <si>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</si>
  <si>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</si>
  <si>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</si>
  <si>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</si>
  <si>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</si>
  <si>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</si>
  <si>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</si>
  <si>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</si>
  <si>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</si>
  <si>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</si>
  <si>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</si>
  <si>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</si>
  <si>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</si>
  <si>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</si>
  <si>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</si>
  <si>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</si>
  <si>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</si>
  <si>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</si>
  <si>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</si>
  <si>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</si>
  <si>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</si>
  <si>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</si>
  <si>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</si>
  <si>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</si>
  <si>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</si>
  <si>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</si>
  <si>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</si>
  <si>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</si>
  <si>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</si>
  <si>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</si>
  <si>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</si>
  <si>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</si>
  <si>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</si>
  <si>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</si>
  <si>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</si>
  <si>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</si>
  <si>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</si>
  <si>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</si>
  <si>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</si>
  <si>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</si>
  <si>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</si>
  <si>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</si>
  <si>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</si>
  <si>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</si>
  <si>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</si>
  <si>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</si>
  <si>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</si>
  <si>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</si>
  <si>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</si>
  <si>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</si>
  <si>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</si>
  <si>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</si>
  <si>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</si>
  <si>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</si>
  <si>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</si>
  <si>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</si>
  <si>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</si>
  <si>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</si>
  <si>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</si>
  <si>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</si>
  <si>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</si>
  <si>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</si>
  <si>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</si>
  <si>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</si>
  <si>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</si>
  <si>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</si>
  <si>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</si>
  <si>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</si>
  <si>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</si>
  <si>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</si>
  <si>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</si>
  <si>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</si>
  <si>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</si>
  <si>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</si>
  <si>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</si>
  <si>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</si>
  <si>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</si>
  <si>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</si>
  <si>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</si>
  <si>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</si>
  <si>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</si>
  <si>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</si>
  <si>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</si>
  <si>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</si>
  <si>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</si>
  <si>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</si>
  <si>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</si>
  <si>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</si>
  <si>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</si>
  <si>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</si>
  <si>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</si>
  <si>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</si>
  <si>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</si>
  <si>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</si>
  <si>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</si>
  <si>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</si>
  <si>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</si>
  <si>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</si>
  <si>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</si>
  <si>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</si>
  <si>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</si>
  <si>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</si>
  <si>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</si>
  <si>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</si>
  <si>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</si>
  <si>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</si>
  <si>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</si>
  <si>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</si>
  <si>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</si>
  <si>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</si>
  <si>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</si>
  <si>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</si>
  <si>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</si>
  <si>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</si>
  <si>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</si>
  <si>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</si>
  <si>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</si>
  <si>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</si>
  <si>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</si>
  <si>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</si>
  <si>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</si>
  <si>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</si>
  <si>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</si>
  <si>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</si>
  <si>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</si>
  <si>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</si>
  <si>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</si>
  <si>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</si>
  <si>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</si>
  <si>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</si>
  <si>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</si>
  <si>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</si>
  <si>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</si>
  <si>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</si>
  <si>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Jose Leiton</t>
  </si>
  <si>
    <t>Desarrollar el formulario web de login y la verificación segura de credenciales.</t>
  </si>
  <si>
    <t>Implementar la interfaz de solicitud de cambio de clave por correo electrónico.</t>
  </si>
  <si>
    <t>Crear la lógica de asignación de privilegios y roles de usuario.</t>
  </si>
  <si>
    <t>Stiven Díaz</t>
  </si>
  <si>
    <t>Gabriel Manosalvas</t>
  </si>
  <si>
    <t>Desarrollar la carga masiva de usuarios desde un archivo Excel.</t>
  </si>
  <si>
    <t>Implementar una tabla para listar y buscar residentes activos.</t>
  </si>
  <si>
    <t>Desarrollar la opción para exportar el listado de residentes a PDF y Excel.</t>
  </si>
  <si>
    <t>Crear el formulario para editar los campos de datos del copropietario.</t>
  </si>
  <si>
    <t>Implementar la funcionalidad para dar de baja o eliminar un copropietario.</t>
  </si>
  <si>
    <t>Desarrollar la interfaz para que el residente realice su pago de expensa.</t>
  </si>
  <si>
    <t>Crear el panel de revisión para aprobar o rechazar transacciones recibidas.</t>
  </si>
  <si>
    <t>Programar el cálculo automático del 12% de recargo por mora en cuotas vencidas.</t>
  </si>
  <si>
    <t>Integrar la generación dinámica del comprobante de pago aprobado en formato PDF.</t>
  </si>
  <si>
    <t>RF001</t>
  </si>
  <si>
    <t>RF001-1</t>
  </si>
  <si>
    <t>RF001-2</t>
  </si>
  <si>
    <t>RF001-3</t>
  </si>
  <si>
    <t>RF002</t>
  </si>
  <si>
    <t>RF002-1</t>
  </si>
  <si>
    <t>RF002-2</t>
  </si>
  <si>
    <t>RF002-3</t>
  </si>
  <si>
    <t>RF002-4</t>
  </si>
  <si>
    <t>RF002-5</t>
  </si>
  <si>
    <t>RF003</t>
  </si>
  <si>
    <t>RF003-1</t>
  </si>
  <si>
    <t>RF003-2</t>
  </si>
  <si>
    <t>RF003-3</t>
  </si>
  <si>
    <t>RF003-4</t>
  </si>
  <si>
    <t>RF004</t>
  </si>
  <si>
    <t>EN REVISIÓN</t>
  </si>
  <si>
    <t>Administrar Sistema</t>
  </si>
  <si>
    <t>Gestionar Copropietarios</t>
  </si>
  <si>
    <t>Implementar Pagos</t>
  </si>
  <si>
    <t>Enviar Notificaciones por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</si>
</sst>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14" fontId="0" fillId="18" borderId="37" xfId="0" applyNumberFormat="1" applyFill="1" applyBorder="1" applyAlignment="1" applyProtection="1">
      <alignment horizontal="right" vertical="center"/>
      <protection locked="0"/>
    </xf>
    <xf numFmtId="14" fontId="0" fillId="0" borderId="37" xfId="0" applyNumberFormat="1" applyBorder="1" applyAlignment="1" applyProtection="1">
      <alignment horizontal="right" vertical="center"/>
      <protection locked="0"/>
    </xf>
    <xf numFmtId="14" fontId="0" fillId="18" borderId="37" xfId="0" applyNumberFormat="1" applyFill="1" applyBorder="1" applyAlignment="1" applyProtection="1">
      <alignment horizontal="right"/>
      <protection locked="0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Normal="100" workbookViewId="0">
      <pane ySplit="4" topLeftCell="A5" activePane="bottomLeft" state="frozen"/>
      <selection pane="bottomLeft" activeCell="S11" sqref="S11:T11"/>
    </sheetView>
  </sheetViews>
  <sheetFormatPr baseColWidth="10" defaultColWidth="0" defaultRowHeight="15" zeroHeight="1" x14ac:dyDescent="0.2"/>
  <cols>
    <col min="1" max="2" width="2.5" style="2" customWidth="1"/>
    <col min="3" max="3" width="10.5" style="12" customWidth="1"/>
    <col min="4" max="5" width="15.5" style="12" customWidth="1"/>
    <col min="6" max="7" width="2.5" style="2" customWidth="1"/>
    <col min="8" max="8" width="10.5" style="12" customWidth="1"/>
    <col min="9" max="10" width="15.5" style="12" customWidth="1"/>
    <col min="11" max="12" width="2.5" style="2" customWidth="1"/>
    <col min="13" max="13" width="10.5" style="12" customWidth="1"/>
    <col min="14" max="15" width="15.5" style="12" customWidth="1"/>
    <col min="16" max="17" width="2.5" style="2" customWidth="1"/>
    <col min="18" max="18" width="10.5" style="12" customWidth="1"/>
    <col min="19" max="20" width="15.5" style="12" customWidth="1"/>
    <col min="21" max="22" width="2.5" style="2" customWidth="1"/>
    <col min="23" max="23" width="10.5" style="12" customWidth="1"/>
    <col min="24" max="25" width="15.5" style="12" customWidth="1"/>
    <col min="26" max="27" width="2.5" style="2" customWidth="1"/>
    <col min="28" max="28" width="10.5" style="12" customWidth="1"/>
    <col min="29" max="30" width="15.5" style="12" customWidth="1"/>
    <col min="31" max="32" width="2.5" style="2" customWidth="1"/>
    <col min="33" max="33" width="10.5" style="12" customWidth="1"/>
    <col min="34" max="35" width="15.5" style="12" customWidth="1"/>
    <col min="36" max="37" width="2.5" style="2" customWidth="1"/>
    <col min="38" max="38" width="10.5" style="12" customWidth="1"/>
    <col min="39" max="40" width="15.5" style="12" customWidth="1"/>
    <col min="41" max="42" width="2.5" style="2" customWidth="1"/>
    <col min="43" max="43" width="10.5" style="12" customWidth="1"/>
    <col min="44" max="45" width="15.5" style="12" customWidth="1"/>
    <col min="46" max="47" width="2.5" style="2" customWidth="1"/>
    <col min="48" max="48" width="10.5" style="12" customWidth="1"/>
    <col min="49" max="50" width="15.5" style="12" customWidth="1"/>
    <col min="51" max="52" width="2.5" style="2" customWidth="1"/>
    <col min="53" max="16384" width="10.6640625" style="2" hidden="1"/>
  </cols>
  <sheetData>
    <row r="1" spans="2:51" ht="16" thickBot="1" x14ac:dyDescent="0.25"/>
    <row r="2" spans="2:51" ht="16" thickBot="1" x14ac:dyDescent="0.25">
      <c r="B2" s="102" t="str">
        <f>Configura!$B$2</f>
        <v xml:space="preserve">                Tablero KANBAN v3 ©️            </v>
      </c>
      <c r="C2" s="102"/>
      <c r="D2" s="102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16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/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6" thickBot="1" x14ac:dyDescent="0.25"/>
    <row r="4" spans="2:51" ht="22" thickBot="1" x14ac:dyDescent="0.25">
      <c r="B4" s="26">
        <v>1</v>
      </c>
      <c r="C4" s="105" t="str" cm="1">
        <f t="array" aca="1" ref="C4" ca="1">IFERROR(INDEX(Configura!$B$9:$B$18,B4)&amp;" ("&amp;SUMIF(misEstados,B4,misFiltros)&amp;" de "&amp;SUM(misFiltros)&amp;")","")</f>
        <v>POR HACER (0 de 16)</v>
      </c>
      <c r="D4" s="105"/>
      <c r="E4" s="105"/>
      <c r="F4" s="9" t="s">
        <v>0</v>
      </c>
      <c r="G4" s="25">
        <f>B4+1</f>
        <v>2</v>
      </c>
      <c r="H4" s="105" t="str" cm="1">
        <f t="array" aca="1" ref="H4" ca="1">IFERROR(INDEX(Configura!$B$9:$B$18,G4)&amp;" ("&amp;SUMIF(misEstados,G4,misFiltros)&amp;" de "&amp;SUM(misFiltros)&amp;")","")</f>
        <v>EN PROGRESO (1 de 16)</v>
      </c>
      <c r="I4" s="105"/>
      <c r="J4" s="105"/>
      <c r="K4" s="9" t="s">
        <v>0</v>
      </c>
      <c r="L4" s="25">
        <f>G4+1</f>
        <v>3</v>
      </c>
      <c r="M4" s="105" t="str" cm="1">
        <f t="array" aca="1" ref="M4" ca="1">IFERROR(INDEX(Configura!$B$9:$B$18,L4)&amp;" ("&amp;SUMIF(misEstados,L4,misFiltros)&amp;" de "&amp;SUM(misFiltros)&amp;")","")</f>
        <v>EN ESPERA (0 de 16)</v>
      </c>
      <c r="N4" s="105"/>
      <c r="O4" s="105"/>
      <c r="P4" s="9" t="s">
        <v>0</v>
      </c>
      <c r="Q4" s="25">
        <f>L4+1</f>
        <v>4</v>
      </c>
      <c r="R4" s="105" t="str" cm="1">
        <f t="array" aca="1" ref="R4" ca="1">IFERROR(INDEX(Configura!$B$9:$B$18,Q4)&amp;" ("&amp;SUMIF(misEstados,Q4,misFiltros)&amp;" de "&amp;SUM(misFiltros)&amp;")","")</f>
        <v>COMPLETADO (0 de 16)</v>
      </c>
      <c r="S4" s="105"/>
      <c r="T4" s="105"/>
      <c r="U4" s="9" t="s">
        <v>0</v>
      </c>
      <c r="V4" s="25">
        <f>Q4+1</f>
        <v>5</v>
      </c>
      <c r="W4" s="105" t="str" cm="1">
        <f t="array" aca="1" ref="W4" ca="1">IFERROR(INDEX(Configura!$B$9:$B$18,V4)&amp;" ("&amp;SUMIF(misEstados,V4,misFiltros)&amp;" de "&amp;SUM(misFiltros)&amp;")","")</f>
        <v>ARCHIVADO (0 de 16)</v>
      </c>
      <c r="X4" s="105"/>
      <c r="Y4" s="105"/>
      <c r="Z4" s="10" t="s">
        <v>0</v>
      </c>
      <c r="AA4" s="25">
        <f>V4+1</f>
        <v>6</v>
      </c>
      <c r="AB4" s="105" t="str" cm="1">
        <f t="array" aca="1" ref="AB4" ca="1">IFERROR(INDEX(Configura!$B$9:$B$18,AA4)&amp;" ("&amp;SUMIF(misEstados,AA4,misFiltros)&amp;" de "&amp;SUM(misFiltros)&amp;")","")</f>
        <v>POR HACER (0 de 16)</v>
      </c>
      <c r="AC4" s="105"/>
      <c r="AD4" s="105"/>
      <c r="AE4" s="10" t="s">
        <v>0</v>
      </c>
      <c r="AF4" s="25">
        <f>AA4+1</f>
        <v>7</v>
      </c>
      <c r="AG4" s="105" t="str" cm="1">
        <f t="array" aca="1" ref="AG4" ca="1">IFERROR(INDEX(Configura!$B$9:$B$18,AF4)&amp;" ("&amp;SUMIF(misEstados,AF4,misFiltros)&amp;" de "&amp;SUM(misFiltros)&amp;")","")</f>
        <v>EN PROGRESO (0 de 16)</v>
      </c>
      <c r="AH4" s="105"/>
      <c r="AI4" s="105"/>
      <c r="AJ4" s="10" t="s">
        <v>0</v>
      </c>
      <c r="AK4" s="25">
        <f>AF4+1</f>
        <v>8</v>
      </c>
      <c r="AL4" s="105" t="str" cm="1">
        <f t="array" aca="1" ref="AL4" ca="1">IFERROR(INDEX(Configura!$B$9:$B$18,AK4)&amp;" ("&amp;SUMIF(misEstados,AK4,misFiltros)&amp;" de "&amp;SUM(misFiltros)&amp;")","")</f>
        <v>EN REVISIÓN (15 de 16)</v>
      </c>
      <c r="AM4" s="105"/>
      <c r="AN4" s="105"/>
      <c r="AO4" s="10" t="s">
        <v>0</v>
      </c>
      <c r="AP4" s="25">
        <f>AK4+1</f>
        <v>9</v>
      </c>
      <c r="AQ4" s="105" t="str" cm="1">
        <f t="array" aca="1" ref="AQ4" ca="1">IFERROR(INDEX(Configura!$B$9:$B$18,AP4)&amp;" ("&amp;SUMIF(misEstados,AP4,misFiltros)&amp;" de "&amp;SUM(misFiltros)&amp;")","")</f>
        <v xml:space="preserve"> (0 de 16)</v>
      </c>
      <c r="AR4" s="105"/>
      <c r="AS4" s="105"/>
      <c r="AT4" s="10" t="s">
        <v>0</v>
      </c>
      <c r="AU4" s="25">
        <f>AP4+1</f>
        <v>10</v>
      </c>
      <c r="AV4" s="105" t="str" cm="1">
        <f t="array" aca="1" ref="AV4" ca="1">IFERROR(INDEX(Configura!$B$9:$B$18,AU4)&amp;" ("&amp;SUMIF(misEstados,AU4,misFiltros)&amp;" de "&amp;SUM(misFiltros)&amp;")","")</f>
        <v xml:space="preserve"> (0 de 16)</v>
      </c>
      <c r="AW4" s="105"/>
      <c r="AX4" s="105"/>
      <c r="AY4" s="10" t="s">
        <v>0</v>
      </c>
    </row>
    <row r="5" spans="2:51" ht="16" thickTop="1" x14ac:dyDescent="0.2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16:</v>
      </c>
      <c r="I6" s="10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RF004</v>
      </c>
      <c r="J6" s="103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/>
      </c>
      <c r="S6" s="10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/>
      </c>
      <c r="T6" s="103" t="str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/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>Tarea 15:</v>
      </c>
      <c r="AM6" s="10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>RF003-4</v>
      </c>
      <c r="AN6" s="103" t="e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>#VALUE!</v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Enviar Notificaciones por WhatsApp</v>
      </c>
      <c r="J7" s="103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/>
      </c>
      <c r="S7" s="10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/>
      </c>
      <c r="T7" s="103" t="str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/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>Descripción:</v>
      </c>
      <c r="AM7" s="10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>Integrar la generación dinámica del comprobante de pago aprobado en formato PDF.</v>
      </c>
      <c r="AN7" s="103" t="e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>#VALUE!</v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3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46209</v>
      </c>
      <c r="J8" s="103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/>
      </c>
      <c r="S8" s="103" t="str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/>
      </c>
      <c r="T8" s="103" t="str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/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>Inicio:</v>
      </c>
      <c r="AM8" s="103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>46202</v>
      </c>
      <c r="AN8" s="103" t="e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>#VALUE!</v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3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46213</v>
      </c>
      <c r="J9" s="103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/>
      </c>
      <c r="S9" s="103" t="str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/>
      </c>
      <c r="T9" s="103" t="str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/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>Previsto:</v>
      </c>
      <c r="AM9" s="103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>46206</v>
      </c>
      <c r="AN9" s="103" t="e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>#VALUE!</v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3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46213</v>
      </c>
      <c r="J10" s="103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/>
      </c>
      <c r="S10" s="103" t="str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/>
      </c>
      <c r="T10" s="103" t="str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/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>Final:</v>
      </c>
      <c r="AM10" s="103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>46206</v>
      </c>
      <c r="AN10" s="103" t="e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>#VALUE!</v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5 días</v>
      </c>
      <c r="J11" s="103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/>
      </c>
      <c r="S11" s="10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/>
      </c>
      <c r="T11" s="103" t="str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/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>Duración:</v>
      </c>
      <c r="AM11" s="10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>5 días</v>
      </c>
      <c r="AN11" s="103" t="e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>#VALUE!</v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3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/>
      </c>
      <c r="S12" s="10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/>
      </c>
      <c r="T12" s="103" t="str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/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>Retraso:</v>
      </c>
      <c r="AM12" s="10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>0 días</v>
      </c>
      <c r="AN12" s="103" t="e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>#VALUE!</v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Jose Leiton</v>
      </c>
      <c r="J13" s="10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/>
      </c>
      <c r="S13" s="10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/>
      </c>
      <c r="T13" s="10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>Asignado:</v>
      </c>
      <c r="AM13" s="10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>Stiven Díaz</v>
      </c>
      <c r="AN13" s="10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3" t="str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/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3" t="e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>#VALUE!</v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/>
      </c>
      <c r="S15" s="10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/>
      </c>
      <c r="T15" s="103" t="str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/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>Tarea 14:</v>
      </c>
      <c r="AM15" s="10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>RF003-3</v>
      </c>
      <c r="AN15" s="103" t="e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>#VALUE!</v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/>
      </c>
      <c r="S16" s="10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/>
      </c>
      <c r="T16" s="103" t="str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/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>Descripción:</v>
      </c>
      <c r="AM16" s="10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>Programar el cálculo automático del 12% de recargo por mora en cuotas vencidas.</v>
      </c>
      <c r="AN16" s="103" t="e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>#VALUE!</v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/>
      </c>
      <c r="S17" s="103" t="str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/>
      </c>
      <c r="T17" s="103" t="str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/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>Inicio:</v>
      </c>
      <c r="AM17" s="103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>46202</v>
      </c>
      <c r="AN17" s="103" t="e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>#VALUE!</v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/>
      </c>
      <c r="S18" s="103" t="str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/>
      </c>
      <c r="T18" s="103" t="str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/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>Previsto:</v>
      </c>
      <c r="AM18" s="103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>46206</v>
      </c>
      <c r="AN18" s="103" t="e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>#VALUE!</v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/>
      </c>
      <c r="S19" s="103" t="str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/>
      </c>
      <c r="T19" s="103" t="str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/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>Final:</v>
      </c>
      <c r="AM19" s="103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>46206</v>
      </c>
      <c r="AN19" s="103" t="e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>#VALUE!</v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/>
      </c>
      <c r="S20" s="10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/>
      </c>
      <c r="T20" s="103" t="str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/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>Duración:</v>
      </c>
      <c r="AM20" s="10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>5 días</v>
      </c>
      <c r="AN20" s="103" t="e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>#VALUE!</v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/>
      </c>
      <c r="S21" s="10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/>
      </c>
      <c r="T21" s="103" t="str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/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>Retraso:</v>
      </c>
      <c r="AM21" s="10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>0 días</v>
      </c>
      <c r="AN21" s="103" t="e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>#VALUE!</v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/>
      </c>
      <c r="S22" s="10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/>
      </c>
      <c r="T22" s="10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>Asignado:</v>
      </c>
      <c r="AM22" s="10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>Stiven Díaz</v>
      </c>
      <c r="AN22" s="10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3" t="str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/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3" t="e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>#VALUE!</v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/>
      </c>
      <c r="S24" s="10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/>
      </c>
      <c r="T24" s="103" t="str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/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>Tarea 13:</v>
      </c>
      <c r="AM24" s="10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>RF003-2</v>
      </c>
      <c r="AN24" s="103" t="e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>#VALUE!</v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/>
      </c>
      <c r="S25" s="10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/>
      </c>
      <c r="T25" s="103" t="str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/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>Descripción:</v>
      </c>
      <c r="AM25" s="10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>Crear el panel de revisión para aprobar o rechazar transacciones recibidas.</v>
      </c>
      <c r="AN25" s="103" t="e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>#VALUE!</v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/>
      </c>
      <c r="S26" s="103" t="str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/>
      </c>
      <c r="T26" s="103" t="str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/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>Inicio:</v>
      </c>
      <c r="AM26" s="103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>46202</v>
      </c>
      <c r="AN26" s="103" t="e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>#VALUE!</v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/>
      </c>
      <c r="S27" s="103" t="str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/>
      </c>
      <c r="T27" s="103" t="str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/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>Previsto:</v>
      </c>
      <c r="AM27" s="103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>46206</v>
      </c>
      <c r="AN27" s="103" t="e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>#VALUE!</v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/>
      </c>
      <c r="S28" s="103" t="str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/>
      </c>
      <c r="T28" s="103" t="str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/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>Final:</v>
      </c>
      <c r="AM28" s="103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>46206</v>
      </c>
      <c r="AN28" s="103" t="e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>#VALUE!</v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/>
      </c>
      <c r="S29" s="10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/>
      </c>
      <c r="T29" s="103" t="str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/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>Duración:</v>
      </c>
      <c r="AM29" s="10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>5 días</v>
      </c>
      <c r="AN29" s="103" t="e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>#VALUE!</v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/>
      </c>
      <c r="S30" s="10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/>
      </c>
      <c r="T30" s="103" t="str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/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>Retraso:</v>
      </c>
      <c r="AM30" s="10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>0 días</v>
      </c>
      <c r="AN30" s="103" t="e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>#VALUE!</v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/>
      </c>
      <c r="S31" s="10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/>
      </c>
      <c r="T31" s="10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>Asignado:</v>
      </c>
      <c r="AM31" s="10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>Stiven Díaz</v>
      </c>
      <c r="AN31" s="10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3" t="str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/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3" t="e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>#VALUE!</v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/>
      </c>
      <c r="S33" s="10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/>
      </c>
      <c r="T33" s="103" t="str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/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>Tarea 12:</v>
      </c>
      <c r="AM33" s="10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>RF003-1</v>
      </c>
      <c r="AN33" s="103" t="e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>#VALUE!</v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/>
      </c>
      <c r="S34" s="10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/>
      </c>
      <c r="T34" s="103" t="str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/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>Descripción:</v>
      </c>
      <c r="AM34" s="10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>Desarrollar la interfaz para que el residente realice su pago de expensa.</v>
      </c>
      <c r="AN34" s="103" t="e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>#VALUE!</v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/>
      </c>
      <c r="S35" s="103" t="str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/>
      </c>
      <c r="T35" s="103" t="str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/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>Inicio:</v>
      </c>
      <c r="AM35" s="103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>46202</v>
      </c>
      <c r="AN35" s="103" t="e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>#VALUE!</v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/>
      </c>
      <c r="S36" s="103" t="str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/>
      </c>
      <c r="T36" s="103" t="str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/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>Previsto:</v>
      </c>
      <c r="AM36" s="103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>46206</v>
      </c>
      <c r="AN36" s="103" t="e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>#VALUE!</v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/>
      </c>
      <c r="S37" s="103" t="str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/>
      </c>
      <c r="T37" s="103" t="str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/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>Final:</v>
      </c>
      <c r="AM37" s="103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>46206</v>
      </c>
      <c r="AN37" s="103" t="e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>#VALUE!</v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/>
      </c>
      <c r="S38" s="10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/>
      </c>
      <c r="T38" s="103" t="str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/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>Duración:</v>
      </c>
      <c r="AM38" s="10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>5 días</v>
      </c>
      <c r="AN38" s="103" t="e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>#VALUE!</v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/>
      </c>
      <c r="S39" s="10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/>
      </c>
      <c r="T39" s="103" t="str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/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>Retraso:</v>
      </c>
      <c r="AM39" s="10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>0 días</v>
      </c>
      <c r="AN39" s="103" t="e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>#VALUE!</v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/>
      </c>
      <c r="S40" s="10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/>
      </c>
      <c r="T40" s="10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>Asignado:</v>
      </c>
      <c r="AM40" s="10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>Stiven Díaz</v>
      </c>
      <c r="AN40" s="10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3" t="str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/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3" t="e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>#VALUE!</v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/>
      </c>
      <c r="S42" s="10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/>
      </c>
      <c r="T42" s="103" t="str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/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>Tarea 11:</v>
      </c>
      <c r="AM42" s="10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>RF003</v>
      </c>
      <c r="AN42" s="103" t="e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>#VALUE!</v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/>
      </c>
      <c r="S43" s="10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/>
      </c>
      <c r="T43" s="103" t="str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/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>Descripción:</v>
      </c>
      <c r="AM43" s="10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>Implementar Pagos</v>
      </c>
      <c r="AN43" s="103" t="e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>#VALUE!</v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/>
      </c>
      <c r="S44" s="103" t="str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/>
      </c>
      <c r="T44" s="103" t="str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/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>Inicio:</v>
      </c>
      <c r="AM44" s="103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>46202</v>
      </c>
      <c r="AN44" s="103" t="e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>#VALUE!</v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/>
      </c>
      <c r="S45" s="103" t="str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/>
      </c>
      <c r="T45" s="103" t="str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/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>Previsto:</v>
      </c>
      <c r="AM45" s="103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>46206</v>
      </c>
      <c r="AN45" s="103" t="e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>#VALUE!</v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/>
      </c>
      <c r="S46" s="103" t="str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/>
      </c>
      <c r="T46" s="103" t="str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/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>Final:</v>
      </c>
      <c r="AM46" s="103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>46206</v>
      </c>
      <c r="AN46" s="103" t="e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>#VALUE!</v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/>
      </c>
      <c r="S47" s="10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/>
      </c>
      <c r="T47" s="103" t="str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/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>Duración:</v>
      </c>
      <c r="AM47" s="10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>5 días</v>
      </c>
      <c r="AN47" s="103" t="e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>#VALUE!</v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/>
      </c>
      <c r="S48" s="10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/>
      </c>
      <c r="T48" s="103" t="str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/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>Retraso:</v>
      </c>
      <c r="AM48" s="10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>0 días</v>
      </c>
      <c r="AN48" s="103" t="e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>#VALUE!</v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/>
      </c>
      <c r="S49" s="10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/>
      </c>
      <c r="T49" s="10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>Asignado:</v>
      </c>
      <c r="AM49" s="10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>Stiven Díaz</v>
      </c>
      <c r="AN49" s="10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3" t="str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/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3" t="e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>#VALUE!</v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/>
      </c>
      <c r="S51" s="10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/>
      </c>
      <c r="T51" s="103" t="str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/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>Tarea 10:</v>
      </c>
      <c r="AM51" s="10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>RF002-5</v>
      </c>
      <c r="AN51" s="103" t="e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>#VALUE!</v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/>
      </c>
      <c r="S52" s="10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/>
      </c>
      <c r="T52" s="103" t="str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/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>Descripción:</v>
      </c>
      <c r="AM52" s="10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>Implementar la funcionalidad para dar de baja o eliminar un copropietario.</v>
      </c>
      <c r="AN52" s="103" t="e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>#VALUE!</v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/>
      </c>
      <c r="S53" s="103" t="str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/>
      </c>
      <c r="T53" s="103" t="str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/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>Inicio:</v>
      </c>
      <c r="AM53" s="103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>46188</v>
      </c>
      <c r="AN53" s="103" t="e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>#VALUE!</v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/>
      </c>
      <c r="S54" s="103" t="str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/>
      </c>
      <c r="T54" s="103" t="str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/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>Previsto:</v>
      </c>
      <c r="AM54" s="103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>46199</v>
      </c>
      <c r="AN54" s="103" t="e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>#VALUE!</v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/>
      </c>
      <c r="S55" s="103" t="str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/>
      </c>
      <c r="T55" s="103" t="str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/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>Final:</v>
      </c>
      <c r="AM55" s="103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>46199</v>
      </c>
      <c r="AN55" s="103" t="e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>#VALUE!</v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/>
      </c>
      <c r="S56" s="10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/>
      </c>
      <c r="T56" s="103" t="str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/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>Duración:</v>
      </c>
      <c r="AM56" s="10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>12 días</v>
      </c>
      <c r="AN56" s="103" t="e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>#VALUE!</v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/>
      </c>
      <c r="S57" s="10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/>
      </c>
      <c r="T57" s="103" t="str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/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>Retraso:</v>
      </c>
      <c r="AM57" s="10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>0 días</v>
      </c>
      <c r="AN57" s="103" t="e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>#VALUE!</v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/>
      </c>
      <c r="S58" s="10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/>
      </c>
      <c r="T58" s="10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>Asignado:</v>
      </c>
      <c r="AM58" s="10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>Gabriel Manosalvas</v>
      </c>
      <c r="AN58" s="10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3" t="str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/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3" t="e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>#VALUE!</v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/>
      </c>
      <c r="S60" s="10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/>
      </c>
      <c r="T60" s="103" t="str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/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>Tarea 9:</v>
      </c>
      <c r="AM60" s="10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>RF002-4</v>
      </c>
      <c r="AN60" s="103" t="e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>#VALUE!</v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/>
      </c>
      <c r="S61" s="10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/>
      </c>
      <c r="T61" s="103" t="str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/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>Descripción:</v>
      </c>
      <c r="AM61" s="10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>Crear el formulario para editar los campos de datos del copropietario.</v>
      </c>
      <c r="AN61" s="103" t="e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>#VALUE!</v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/>
      </c>
      <c r="S62" s="103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/>
      </c>
      <c r="T62" s="103" t="str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/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>Inicio:</v>
      </c>
      <c r="AM62" s="103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>46188</v>
      </c>
      <c r="AN62" s="103" t="e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>#VALUE!</v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/>
      </c>
      <c r="S63" s="103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/>
      </c>
      <c r="T63" s="103" t="str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/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>Previsto:</v>
      </c>
      <c r="AM63" s="103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>46199</v>
      </c>
      <c r="AN63" s="103" t="e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>#VALUE!</v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/>
      </c>
      <c r="S64" s="103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/>
      </c>
      <c r="T64" s="103" t="str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/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>Final:</v>
      </c>
      <c r="AM64" s="103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>46199</v>
      </c>
      <c r="AN64" s="103" t="e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>#VALUE!</v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/>
      </c>
      <c r="S65" s="10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/>
      </c>
      <c r="T65" s="103" t="str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/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>Duración:</v>
      </c>
      <c r="AM65" s="10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>12 días</v>
      </c>
      <c r="AN65" s="103" t="e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>#VALUE!</v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/>
      </c>
      <c r="S66" s="10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/>
      </c>
      <c r="T66" s="103" t="str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/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>Retraso:</v>
      </c>
      <c r="AM66" s="10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>0 días</v>
      </c>
      <c r="AN66" s="103" t="e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>#VALUE!</v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/>
      </c>
      <c r="S67" s="10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/>
      </c>
      <c r="T67" s="10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>Asignado:</v>
      </c>
      <c r="AM67" s="10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>Gabriel Manosalvas</v>
      </c>
      <c r="AN67" s="10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3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3" t="e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>#VALUE!</v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0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03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>Tarea 8:</v>
      </c>
      <c r="AM69" s="10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>RF002-3</v>
      </c>
      <c r="AN69" s="103" t="e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>#VALUE!</v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0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03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>Descripción:</v>
      </c>
      <c r="AM70" s="10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>Desarrollar la opción para exportar el listado de residentes a PDF y Excel.</v>
      </c>
      <c r="AN70" s="103" t="e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>#VALUE!</v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03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03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>Inicio:</v>
      </c>
      <c r="AM71" s="103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>46188</v>
      </c>
      <c r="AN71" s="103" t="e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>#VALUE!</v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03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03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>Previsto:</v>
      </c>
      <c r="AM72" s="103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>46199</v>
      </c>
      <c r="AN72" s="103" t="e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>#VALUE!</v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03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03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>Final:</v>
      </c>
      <c r="AM73" s="103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>46199</v>
      </c>
      <c r="AN73" s="103" t="e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>#VALUE!</v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0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03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>Duración:</v>
      </c>
      <c r="AM74" s="10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>12 días</v>
      </c>
      <c r="AN74" s="103" t="e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>#VALUE!</v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0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03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>Retraso:</v>
      </c>
      <c r="AM75" s="10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>0 días</v>
      </c>
      <c r="AN75" s="103" t="e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>#VALUE!</v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0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0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>Asignado:</v>
      </c>
      <c r="AM76" s="10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>Gabriel Manosalvas</v>
      </c>
      <c r="AN76" s="10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3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3" t="e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>#VALUE!</v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0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03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>Tarea 7:</v>
      </c>
      <c r="AM78" s="10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>RF002-2</v>
      </c>
      <c r="AN78" s="103" t="e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>#VALUE!</v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0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03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>Descripción:</v>
      </c>
      <c r="AM79" s="10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>Implementar una tabla para listar y buscar residentes activos.</v>
      </c>
      <c r="AN79" s="103" t="e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>#VALUE!</v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03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03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>Inicio:</v>
      </c>
      <c r="AM80" s="103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>46188</v>
      </c>
      <c r="AN80" s="103" t="e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>#VALUE!</v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03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03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>Previsto:</v>
      </c>
      <c r="AM81" s="103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>46199</v>
      </c>
      <c r="AN81" s="103" t="e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>#VALUE!</v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03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03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>Final:</v>
      </c>
      <c r="AM82" s="103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>46199</v>
      </c>
      <c r="AN82" s="103" t="e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>#VALUE!</v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0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3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>Duración:</v>
      </c>
      <c r="AM83" s="10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>12 días</v>
      </c>
      <c r="AN83" s="103" t="e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>#VALUE!</v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0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3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>Retraso:</v>
      </c>
      <c r="AM84" s="10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>0 días</v>
      </c>
      <c r="AN84" s="103" t="e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>#VALUE!</v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0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0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>Asignado:</v>
      </c>
      <c r="AM85" s="10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>Gabriel Manosalvas</v>
      </c>
      <c r="AN85" s="10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3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3" t="e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>#VALUE!</v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3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>Tarea 6:</v>
      </c>
      <c r="AM87" s="10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>RF002-1</v>
      </c>
      <c r="AN87" s="103" t="e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>#VALUE!</v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3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>Descripción:</v>
      </c>
      <c r="AM88" s="10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>Desarrollar la carga masiva de usuarios desde un archivo Excel.</v>
      </c>
      <c r="AN88" s="103" t="e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>#VALUE!</v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3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3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>Inicio:</v>
      </c>
      <c r="AM89" s="103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>46188</v>
      </c>
      <c r="AN89" s="103" t="e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>#VALUE!</v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3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3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>Previsto:</v>
      </c>
      <c r="AM90" s="103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>46199</v>
      </c>
      <c r="AN90" s="103" t="e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>#VALUE!</v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3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3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>Final:</v>
      </c>
      <c r="AM91" s="103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>46199</v>
      </c>
      <c r="AN91" s="103" t="e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>#VALUE!</v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3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>Duración:</v>
      </c>
      <c r="AM92" s="10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>12 días</v>
      </c>
      <c r="AN92" s="103" t="e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>#VALUE!</v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3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>Retraso:</v>
      </c>
      <c r="AM93" s="10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>0 días</v>
      </c>
      <c r="AN93" s="103" t="e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>#VALUE!</v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>Asignado:</v>
      </c>
      <c r="AM94" s="10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>Gabriel Manosalvas</v>
      </c>
      <c r="AN94" s="10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3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3" t="e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>#VALUE!</v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3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>Tarea 5:</v>
      </c>
      <c r="AM96" s="10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>RF002</v>
      </c>
      <c r="AN96" s="103" t="e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>#VALUE!</v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3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>Descripción:</v>
      </c>
      <c r="AM97" s="10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>Gestionar Copropietarios</v>
      </c>
      <c r="AN97" s="103" t="e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>#VALUE!</v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3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3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>Inicio:</v>
      </c>
      <c r="AM98" s="103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>46188</v>
      </c>
      <c r="AN98" s="103" t="e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>#VALUE!</v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3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3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>Previsto:</v>
      </c>
      <c r="AM99" s="103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>46199</v>
      </c>
      <c r="AN99" s="103" t="e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>#VALUE!</v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3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3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>Final:</v>
      </c>
      <c r="AM100" s="103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>46199</v>
      </c>
      <c r="AN100" s="103" t="e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>#VALUE!</v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3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>Duración:</v>
      </c>
      <c r="AM101" s="10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>12 días</v>
      </c>
      <c r="AN101" s="103" t="e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>#VALUE!</v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3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>Retraso:</v>
      </c>
      <c r="AM102" s="10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>0 días</v>
      </c>
      <c r="AN102" s="103" t="e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>#VALUE!</v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>Asignado:</v>
      </c>
      <c r="AM103" s="10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>Gabriel Manosalvas</v>
      </c>
      <c r="AN103" s="10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3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3" t="e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>#VALUE!</v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3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>Tarea 4:</v>
      </c>
      <c r="AM105" s="10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>RF001-3</v>
      </c>
      <c r="AN105" s="103" t="e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>#VALUE!</v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3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>Descripción:</v>
      </c>
      <c r="AM106" s="10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>Crear la lógica de asignación de privilegios y roles de usuario.</v>
      </c>
      <c r="AN106" s="103" t="e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>#VALUE!</v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3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3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>Inicio:</v>
      </c>
      <c r="AM107" s="103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>46188</v>
      </c>
      <c r="AN107" s="103" t="e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>#VALUE!</v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3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3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>Previsto:</v>
      </c>
      <c r="AM108" s="103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>46199</v>
      </c>
      <c r="AN108" s="103" t="e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>#VALUE!</v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3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3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>Final:</v>
      </c>
      <c r="AM109" s="103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>46199</v>
      </c>
      <c r="AN109" s="103" t="e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>#VALUE!</v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3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>Duración:</v>
      </c>
      <c r="AM110" s="10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>12 días</v>
      </c>
      <c r="AN110" s="103" t="e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>#VALUE!</v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3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>Retraso:</v>
      </c>
      <c r="AM111" s="10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>0 días</v>
      </c>
      <c r="AN111" s="103" t="e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>#VALUE!</v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>Asignado:</v>
      </c>
      <c r="AM112" s="10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>Jose Leiton</v>
      </c>
      <c r="AN112" s="10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3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3" t="e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>#VALUE!</v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3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>Tarea 3:</v>
      </c>
      <c r="AM114" s="10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>RF001-2</v>
      </c>
      <c r="AN114" s="103" t="e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>#VALUE!</v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3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>Descripción:</v>
      </c>
      <c r="AM115" s="10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>Implementar la interfaz de solicitud de cambio de clave por correo electrónico.</v>
      </c>
      <c r="AN115" s="103" t="e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>#VALUE!</v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3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3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>Inicio:</v>
      </c>
      <c r="AM116" s="103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>46174</v>
      </c>
      <c r="AN116" s="103" t="e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>#VALUE!</v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3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3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>Previsto:</v>
      </c>
      <c r="AM117" s="103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>46185</v>
      </c>
      <c r="AN117" s="103" t="e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>#VALUE!</v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3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3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>Final:</v>
      </c>
      <c r="AM118" s="103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>46185</v>
      </c>
      <c r="AN118" s="103" t="e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>#VALUE!</v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3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>Duración:</v>
      </c>
      <c r="AM119" s="10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>12 días</v>
      </c>
      <c r="AN119" s="103" t="e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>#VALUE!</v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3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>Retraso:</v>
      </c>
      <c r="AM120" s="10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>0 días</v>
      </c>
      <c r="AN120" s="103" t="e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>#VALUE!</v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>Asignado:</v>
      </c>
      <c r="AM121" s="10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>Jose Leiton</v>
      </c>
      <c r="AN121" s="10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3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3" t="e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>#VALUE!</v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3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>Tarea 2:</v>
      </c>
      <c r="AM123" s="10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>RF001-1</v>
      </c>
      <c r="AN123" s="103" t="e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>#VALUE!</v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3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>Descripción:</v>
      </c>
      <c r="AM124" s="10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>Desarrollar el formulario web de login y la verificación segura de credenciales.</v>
      </c>
      <c r="AN124" s="103" t="e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>#VALUE!</v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3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3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>Inicio:</v>
      </c>
      <c r="AM125" s="103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>46174</v>
      </c>
      <c r="AN125" s="103" t="e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>#VALUE!</v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3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3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>Previsto:</v>
      </c>
      <c r="AM126" s="103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>46185</v>
      </c>
      <c r="AN126" s="103" t="e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>#VALUE!</v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3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3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>Final:</v>
      </c>
      <c r="AM127" s="103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>46185</v>
      </c>
      <c r="AN127" s="103" t="e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>#VALUE!</v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3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>Duración:</v>
      </c>
      <c r="AM128" s="10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>12 días</v>
      </c>
      <c r="AN128" s="103" t="e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>#VALUE!</v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3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>Retraso:</v>
      </c>
      <c r="AM129" s="10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>0 días</v>
      </c>
      <c r="AN129" s="103" t="e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>#VALUE!</v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>Asignado:</v>
      </c>
      <c r="AM130" s="10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>Jose Leiton</v>
      </c>
      <c r="AN130" s="10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3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3" t="e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>#VALUE!</v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3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>Tarea 1:</v>
      </c>
      <c r="AM132" s="10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>RF001</v>
      </c>
      <c r="AN132" s="103" t="e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>#VALUE!</v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3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>Descripción:</v>
      </c>
      <c r="AM133" s="10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>Administrar Sistema</v>
      </c>
      <c r="AN133" s="103" t="e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>#VALUE!</v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3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3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>Inicio:</v>
      </c>
      <c r="AM134" s="103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>46174</v>
      </c>
      <c r="AN134" s="103" t="e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>#VALUE!</v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3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3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>Previsto:</v>
      </c>
      <c r="AM135" s="103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>46185</v>
      </c>
      <c r="AN135" s="103" t="e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>#VALUE!</v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3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3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>Final:</v>
      </c>
      <c r="AM136" s="103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>46185</v>
      </c>
      <c r="AN136" s="103" t="e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>#VALUE!</v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3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>Duración:</v>
      </c>
      <c r="AM137" s="10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>12 días</v>
      </c>
      <c r="AN137" s="103" t="e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>#VALUE!</v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3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>Retraso:</v>
      </c>
      <c r="AM138" s="10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>0 días</v>
      </c>
      <c r="AN138" s="103" t="e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>#VALUE!</v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>Asignado:</v>
      </c>
      <c r="AM139" s="10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>Jose Leiton</v>
      </c>
      <c r="AN139" s="10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3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3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3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3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3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3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3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3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3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3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3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3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3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3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3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3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3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3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3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3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3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3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3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3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3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3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3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3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3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3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3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3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3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3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3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3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3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3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3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3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3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3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3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3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3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3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3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3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3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3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3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3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3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3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3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3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3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3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3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3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3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3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3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3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3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3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3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3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3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3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3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3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3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3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3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6" thickBot="1" x14ac:dyDescent="0.2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workbookViewId="0">
      <pane ySplit="1" topLeftCell="A2" activePane="bottomLeft" state="frozen"/>
      <selection pane="bottomLeft" activeCell="D23" sqref="D23"/>
    </sheetView>
  </sheetViews>
  <sheetFormatPr baseColWidth="10" defaultColWidth="0" defaultRowHeight="15" zeroHeight="1" x14ac:dyDescent="0.2"/>
  <cols>
    <col min="1" max="1" width="15.5" style="3" customWidth="1"/>
    <col min="2" max="2" width="13.5" style="3" bestFit="1" customWidth="1"/>
    <col min="3" max="3" width="12.6640625" style="3" customWidth="1"/>
    <col min="4" max="4" width="64.83203125" style="3" customWidth="1"/>
    <col min="5" max="5" width="12.5" style="4" customWidth="1"/>
    <col min="6" max="6" width="14.1640625" style="4" bestFit="1" customWidth="1"/>
    <col min="7" max="8" width="12.5" style="4" customWidth="1"/>
    <col min="9" max="9" width="13.5" style="4" bestFit="1" customWidth="1"/>
    <col min="10" max="10" width="32.5" style="3" customWidth="1"/>
    <col min="11" max="11" width="10.6640625" style="3" customWidth="1"/>
    <col min="12" max="16384" width="10.6640625" style="2" hidden="1"/>
  </cols>
  <sheetData>
    <row r="1" spans="1:11" x14ac:dyDescent="0.2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16" x14ac:dyDescent="0.2">
      <c r="A2" s="91" t="s">
        <v>246</v>
      </c>
      <c r="B2" s="92" t="s">
        <v>3</v>
      </c>
      <c r="C2" s="100" t="s">
        <v>230</v>
      </c>
      <c r="D2" s="100" t="s">
        <v>247</v>
      </c>
      <c r="E2" s="111">
        <v>46174</v>
      </c>
      <c r="F2" s="111">
        <v>46185</v>
      </c>
      <c r="G2" s="111">
        <v>46185</v>
      </c>
      <c r="H2" s="43" t="str">
        <f>IF(Datos!$G2&gt;0,Datos!$G2-Datos!$E2+1 &amp; " " &amp; Idiomas!$A$29,"")</f>
        <v>12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2" x14ac:dyDescent="0.2">
      <c r="A3" s="94" t="s">
        <v>246</v>
      </c>
      <c r="B3" s="95" t="s">
        <v>3</v>
      </c>
      <c r="C3" s="95" t="s">
        <v>231</v>
      </c>
      <c r="D3" s="101" t="s">
        <v>216</v>
      </c>
      <c r="E3" s="111">
        <v>46174</v>
      </c>
      <c r="F3" s="111">
        <v>46185</v>
      </c>
      <c r="G3" s="111">
        <v>46185</v>
      </c>
      <c r="H3" s="45" t="str">
        <f>IF(Datos!$G3&gt;0,Datos!$G3-Datos!$E3+1 &amp; " " &amp; Idiomas!$A$29,"")</f>
        <v>12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215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32" x14ac:dyDescent="0.2">
      <c r="A4" s="91" t="s">
        <v>246</v>
      </c>
      <c r="B4" s="92" t="s">
        <v>3</v>
      </c>
      <c r="C4" s="92" t="s">
        <v>232</v>
      </c>
      <c r="D4" s="100" t="s">
        <v>217</v>
      </c>
      <c r="E4" s="111">
        <v>46174</v>
      </c>
      <c r="F4" s="111">
        <v>46185</v>
      </c>
      <c r="G4" s="111">
        <v>46185</v>
      </c>
      <c r="H4" s="43" t="str">
        <f>IF(Datos!$G4&gt;0,Datos!$G4-Datos!$E4+1 &amp; " " &amp; Idiomas!$A$29,"")</f>
        <v>12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">
      <c r="A5" s="94" t="s">
        <v>246</v>
      </c>
      <c r="B5" s="95" t="s">
        <v>3</v>
      </c>
      <c r="C5" s="95" t="s">
        <v>233</v>
      </c>
      <c r="D5" s="95" t="s">
        <v>218</v>
      </c>
      <c r="E5" s="111">
        <v>46188</v>
      </c>
      <c r="F5" s="111">
        <v>46199</v>
      </c>
      <c r="G5" s="111">
        <v>46199</v>
      </c>
      <c r="H5" s="45" t="str">
        <f>IF(Datos!$G5&gt;0,Datos!$G5-Datos!$E5+1 &amp; " " &amp; Idiomas!$A$29,"")</f>
        <v>12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">
      <c r="A6" s="91" t="s">
        <v>246</v>
      </c>
      <c r="B6" s="92" t="s">
        <v>3</v>
      </c>
      <c r="C6" s="92" t="s">
        <v>234</v>
      </c>
      <c r="D6" s="92" t="s">
        <v>248</v>
      </c>
      <c r="E6" s="111">
        <v>46188</v>
      </c>
      <c r="F6" s="111">
        <v>46199</v>
      </c>
      <c r="G6" s="111">
        <v>46199</v>
      </c>
      <c r="H6" s="43" t="str">
        <f>IF(Datos!$G6&gt;0,Datos!$G6-Datos!$E6+1 &amp; " " &amp; Idiomas!$A$29,"")</f>
        <v>12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">
      <c r="A7" s="94" t="s">
        <v>246</v>
      </c>
      <c r="B7" s="95" t="s">
        <v>3</v>
      </c>
      <c r="C7" s="95" t="s">
        <v>235</v>
      </c>
      <c r="D7" s="95" t="s">
        <v>221</v>
      </c>
      <c r="E7" s="111">
        <v>46188</v>
      </c>
      <c r="F7" s="111">
        <v>46199</v>
      </c>
      <c r="G7" s="111">
        <v>46199</v>
      </c>
      <c r="H7" s="45" t="str">
        <f>IF(Datos!$G7&gt;0,Datos!$G7-Datos!$E7+1 &amp; " " &amp; Idiomas!$A$29,"")</f>
        <v>12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2" t="s">
        <v>220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">
      <c r="A8" s="91" t="s">
        <v>246</v>
      </c>
      <c r="B8" s="92" t="s">
        <v>3</v>
      </c>
      <c r="C8" s="92" t="s">
        <v>236</v>
      </c>
      <c r="D8" s="92" t="s">
        <v>222</v>
      </c>
      <c r="E8" s="111">
        <v>46188</v>
      </c>
      <c r="F8" s="111">
        <v>46199</v>
      </c>
      <c r="G8" s="111">
        <v>46199</v>
      </c>
      <c r="H8" s="43" t="str">
        <f>IF(Datos!$G8&gt;0,Datos!$G8-Datos!$E8+1 &amp; " " &amp; Idiomas!$A$29,"")</f>
        <v>12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">
      <c r="A9" s="94" t="s">
        <v>246</v>
      </c>
      <c r="B9" s="95" t="s">
        <v>3</v>
      </c>
      <c r="C9" s="95" t="s">
        <v>237</v>
      </c>
      <c r="D9" s="95" t="s">
        <v>223</v>
      </c>
      <c r="E9" s="111">
        <v>46188</v>
      </c>
      <c r="F9" s="111">
        <v>46199</v>
      </c>
      <c r="G9" s="111">
        <v>46199</v>
      </c>
      <c r="H9" s="45" t="str">
        <f>IF(Datos!$G9&gt;0,Datos!$G9-Datos!$E9+1 &amp; " " &amp; Idiomas!$A$29,"")</f>
        <v>12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2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">
      <c r="A10" s="91" t="s">
        <v>246</v>
      </c>
      <c r="B10" s="92" t="s">
        <v>3</v>
      </c>
      <c r="C10" s="92" t="s">
        <v>238</v>
      </c>
      <c r="D10" s="92" t="s">
        <v>224</v>
      </c>
      <c r="E10" s="111">
        <v>46188</v>
      </c>
      <c r="F10" s="111">
        <v>46199</v>
      </c>
      <c r="G10" s="111">
        <v>46199</v>
      </c>
      <c r="H10" s="43" t="str">
        <f>IF(Datos!$G10&gt;0,Datos!$G10-Datos!$E10+1 &amp; " " &amp; Idiomas!$A$29,"")</f>
        <v>12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220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">
      <c r="A11" s="94" t="s">
        <v>246</v>
      </c>
      <c r="B11" s="95" t="s">
        <v>3</v>
      </c>
      <c r="C11" s="95" t="s">
        <v>239</v>
      </c>
      <c r="D11" s="95" t="s">
        <v>225</v>
      </c>
      <c r="E11" s="111">
        <v>46188</v>
      </c>
      <c r="F11" s="111">
        <v>46199</v>
      </c>
      <c r="G11" s="111">
        <v>46199</v>
      </c>
      <c r="H11" s="45" t="str">
        <f>IF(Datos!$G11&gt;0,Datos!$G11-Datos!$E11+1 &amp; " " &amp; Idiomas!$A$29,"")</f>
        <v>12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2" t="s">
        <v>220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">
      <c r="A12" s="91" t="s">
        <v>246</v>
      </c>
      <c r="B12" s="92" t="s">
        <v>3</v>
      </c>
      <c r="C12" s="92" t="s">
        <v>240</v>
      </c>
      <c r="D12" s="92" t="s">
        <v>249</v>
      </c>
      <c r="E12" s="113">
        <v>46202</v>
      </c>
      <c r="F12" s="111">
        <v>46206</v>
      </c>
      <c r="G12" s="111">
        <v>46206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16" x14ac:dyDescent="0.2">
      <c r="A13" s="94" t="s">
        <v>246</v>
      </c>
      <c r="B13" s="95" t="s">
        <v>3</v>
      </c>
      <c r="C13" s="95" t="s">
        <v>241</v>
      </c>
      <c r="D13" s="101" t="s">
        <v>226</v>
      </c>
      <c r="E13" s="113">
        <v>46202</v>
      </c>
      <c r="F13" s="111">
        <v>46206</v>
      </c>
      <c r="G13" s="111">
        <v>46206</v>
      </c>
      <c r="H13" s="45" t="str">
        <f>IF(Datos!$G13&gt;0,Datos!$G13-Datos!$E13+1 &amp; " " &amp; Idiomas!$A$29,"")</f>
        <v>5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2" t="s">
        <v>219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16" x14ac:dyDescent="0.2">
      <c r="A14" s="91" t="s">
        <v>246</v>
      </c>
      <c r="B14" s="92" t="s">
        <v>3</v>
      </c>
      <c r="C14" s="92" t="s">
        <v>242</v>
      </c>
      <c r="D14" s="100" t="s">
        <v>227</v>
      </c>
      <c r="E14" s="113">
        <v>46202</v>
      </c>
      <c r="F14" s="111">
        <v>46206</v>
      </c>
      <c r="G14" s="111">
        <v>46206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219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">
      <c r="A15" s="94" t="s">
        <v>246</v>
      </c>
      <c r="B15" s="95" t="s">
        <v>3</v>
      </c>
      <c r="C15" s="95" t="s">
        <v>243</v>
      </c>
      <c r="D15" t="s">
        <v>228</v>
      </c>
      <c r="E15" s="113">
        <v>46202</v>
      </c>
      <c r="F15" s="111">
        <v>46206</v>
      </c>
      <c r="G15" s="111">
        <v>46206</v>
      </c>
      <c r="H15" s="45" t="str">
        <f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2" t="s">
        <v>219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">
      <c r="A16" s="91" t="s">
        <v>246</v>
      </c>
      <c r="B16" s="92" t="s">
        <v>3</v>
      </c>
      <c r="C16" s="92" t="s">
        <v>244</v>
      </c>
      <c r="D16" s="92" t="s">
        <v>229</v>
      </c>
      <c r="E16" s="113">
        <v>46202</v>
      </c>
      <c r="F16" s="111">
        <v>46206</v>
      </c>
      <c r="G16" s="111">
        <v>46206</v>
      </c>
      <c r="H16" s="43" t="str">
        <f>IF(Datos!$G16&gt;0,Datos!$G16-Datos!$E16+1 &amp; " " &amp; Idiomas!$A$29,"")</f>
        <v>5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">
      <c r="A17" s="94" t="s">
        <v>8</v>
      </c>
      <c r="B17" s="95" t="s">
        <v>3</v>
      </c>
      <c r="C17" s="95" t="s">
        <v>245</v>
      </c>
      <c r="D17" s="95" t="s">
        <v>250</v>
      </c>
      <c r="E17" s="112">
        <v>46209</v>
      </c>
      <c r="F17" s="112">
        <v>46213</v>
      </c>
      <c r="G17" s="112">
        <v>46213</v>
      </c>
      <c r="H17" s="45" t="str">
        <f>IF(Datos!$G17&gt;0,Datos!$G17-Datos!$E17+1 &amp; " " &amp; Idiomas!$A$29,"")</f>
        <v>5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215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">
      <c r="A69" s="94"/>
      <c r="B69" s="95"/>
      <c r="C69" s="95">
        <v>1</v>
      </c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2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">
      <c r="A101" s="97"/>
      <c r="B101" s="98"/>
      <c r="C101" s="98"/>
      <c r="D101" s="98"/>
      <c r="E101" s="99"/>
      <c r="F101" s="99"/>
      <c r="G101" s="99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B20" sqref="B20"/>
    </sheetView>
  </sheetViews>
  <sheetFormatPr baseColWidth="10" defaultColWidth="0" defaultRowHeight="15" zeroHeight="1" x14ac:dyDescent="0.2"/>
  <cols>
    <col min="1" max="1" width="4.5" style="2" customWidth="1"/>
    <col min="2" max="2" width="16.5" style="2" customWidth="1"/>
    <col min="3" max="3" width="4.5" style="2" customWidth="1"/>
    <col min="4" max="4" width="16.5" style="2" customWidth="1"/>
    <col min="5" max="5" width="4.5" style="2" customWidth="1"/>
    <col min="6" max="6" width="32.5" style="2" customWidth="1"/>
    <col min="7" max="7" width="4.5" style="2" customWidth="1"/>
    <col min="8" max="8" width="16.5" style="2" customWidth="1"/>
    <col min="9" max="9" width="4.5" customWidth="1"/>
    <col min="10" max="10" width="4.5" style="2" customWidth="1"/>
    <col min="11" max="16384" width="10.6640625" style="2" hidden="1"/>
  </cols>
  <sheetData>
    <row r="1" spans="2:9" ht="15" customHeight="1" x14ac:dyDescent="0.2"/>
    <row r="2" spans="2:9" ht="15" customHeight="1" x14ac:dyDescent="0.2">
      <c r="B2" s="102" t="str">
        <f>"                " &amp; Idiomas!$A$2 &amp; " v3 ©️            "</f>
        <v xml:space="preserve">                Tablero KANBAN v3 ©️            </v>
      </c>
      <c r="C2" s="102"/>
      <c r="E2" s="7" t="s">
        <v>10</v>
      </c>
      <c r="F2" s="109" t="str">
        <f>Idiomas!$A$2 &amp; " | #ExcelPedroWave"</f>
        <v>Tablero KANBAN | #ExcelPedroWave</v>
      </c>
      <c r="G2" s="109"/>
      <c r="H2" s="109"/>
    </row>
    <row r="3" spans="2:9" ht="15" customHeight="1" x14ac:dyDescent="0.2">
      <c r="E3" s="8" t="s">
        <v>11</v>
      </c>
      <c r="F3" s="109" t="s">
        <v>12</v>
      </c>
      <c r="G3" s="109"/>
      <c r="H3" s="109"/>
    </row>
    <row r="4" spans="2:9" x14ac:dyDescent="0.2">
      <c r="B4" s="89" t="str">
        <f>Idiomas!$A$3</f>
        <v>Idioma</v>
      </c>
      <c r="E4" s="8" t="s">
        <v>13</v>
      </c>
      <c r="F4" s="110" t="s">
        <v>14</v>
      </c>
      <c r="G4" s="110"/>
      <c r="H4" s="110"/>
    </row>
    <row r="5" spans="2:9" ht="15" customHeight="1" x14ac:dyDescent="0.2">
      <c r="B5" s="90" t="s">
        <v>15</v>
      </c>
      <c r="C5" s="37"/>
      <c r="D5" s="39"/>
      <c r="E5" s="39"/>
      <c r="F5" s="39"/>
    </row>
    <row r="6" spans="2:9" ht="15" customHeight="1" x14ac:dyDescent="0.2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25">
      <c r="C7" s="38"/>
      <c r="D7" s="39"/>
      <c r="E7" s="39"/>
      <c r="F7" s="39"/>
    </row>
    <row r="8" spans="2:9" ht="16" thickBot="1" x14ac:dyDescent="0.2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2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2">
      <c r="B10" s="76" t="s">
        <v>8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6" thickBot="1" x14ac:dyDescent="0.25">
      <c r="B11" s="77" t="s">
        <v>7</v>
      </c>
      <c r="D11" s="74" t="s">
        <v>4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2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2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2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2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6" thickBot="1" x14ac:dyDescent="0.25">
      <c r="B16" s="76" t="s">
        <v>246</v>
      </c>
      <c r="F16" s="69"/>
      <c r="H16" s="80" t="str">
        <f>Idiomas!$A$19</f>
        <v>Asignado</v>
      </c>
      <c r="I16" s="88">
        <v>8</v>
      </c>
    </row>
    <row r="17" spans="2:9" x14ac:dyDescent="0.2">
      <c r="B17" s="77"/>
      <c r="F17" s="70"/>
      <c r="H17" s="82" t="str">
        <f>Idiomas!$A$4</f>
        <v>AVISO:</v>
      </c>
      <c r="I17" s="84" t="s">
        <v>17</v>
      </c>
    </row>
    <row r="18" spans="2:9" ht="16" thickBot="1" x14ac:dyDescent="0.25">
      <c r="B18" s="78"/>
      <c r="F18" s="69"/>
      <c r="H18" s="83" t="str">
        <f>Idiomas!$A$31</f>
        <v>Cambiar números del 2 al 8</v>
      </c>
    </row>
    <row r="19" spans="2:9" ht="16" thickBot="1" x14ac:dyDescent="0.2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6" thickBot="1" x14ac:dyDescent="0.25">
      <c r="B20" s="64" t="s">
        <v>246</v>
      </c>
      <c r="F20" s="69"/>
    </row>
    <row r="21" spans="2:9" x14ac:dyDescent="0.2">
      <c r="F21" s="70"/>
    </row>
    <row r="22" spans="2:9" ht="16" thickBot="1" x14ac:dyDescent="0.25">
      <c r="B22" s="2" t="str">
        <f>Idiomas!$A$11</f>
        <v>Nombre archivo en Excel para la Web</v>
      </c>
      <c r="F22" s="69"/>
    </row>
    <row r="23" spans="2:9" ht="16" thickBot="1" x14ac:dyDescent="0.25">
      <c r="B23" s="106" t="s">
        <v>18</v>
      </c>
      <c r="C23" s="107"/>
      <c r="D23" s="108"/>
      <c r="F23" s="71"/>
    </row>
    <row r="24" spans="2:9" x14ac:dyDescent="0.2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1" width="10.6640625" style="2" customWidth="1"/>
    <col min="2" max="2" width="9.6640625" style="2" bestFit="1" customWidth="1"/>
    <col min="3" max="3" width="10.5" style="2" customWidth="1"/>
    <col min="4" max="15" width="8.5" style="2" customWidth="1"/>
    <col min="16" max="16" width="16.5" style="2" customWidth="1"/>
    <col min="17" max="16384" width="10.6640625" hidden="1"/>
  </cols>
  <sheetData>
    <row r="1" spans="1:16" ht="17" thickTop="1" thickBot="1" x14ac:dyDescent="0.2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7" thickTop="1" thickBot="1" x14ac:dyDescent="0.25">
      <c r="A2" s="52" t="str">
        <f>IFERROR(IF(Datos!$A2="","",Idiomas!$A$12&amp;" "&amp;ROW()-1),"")</f>
        <v>Tarea 1</v>
      </c>
      <c r="B2" s="53">
        <f>IFERROR(MATCH(Datos!$A2,Configura!$B$9:$B$18,0),0)</f>
        <v>8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>AL-132</v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AL-132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AL132:AL139</v>
      </c>
    </row>
    <row r="3" spans="1:16" ht="17" thickTop="1" thickBot="1" x14ac:dyDescent="0.25">
      <c r="A3" s="56" t="str">
        <f>IFERROR(IF(Datos!$A3="","",Idiomas!$A$12&amp;" "&amp;ROW()-1),"")</f>
        <v>Tarea 2</v>
      </c>
      <c r="B3" s="57">
        <f>IFERROR(MATCH(Datos!$A3,Configura!$B$9:$B$18,0),0)</f>
        <v>8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>AL-123</v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AL-123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AL123:AL130</v>
      </c>
    </row>
    <row r="4" spans="1:16" ht="17" thickTop="1" thickBot="1" x14ac:dyDescent="0.25">
      <c r="A4" s="52" t="str">
        <f>IFERROR(IF(Datos!$A4="","",Idiomas!$A$12&amp;" "&amp;ROW()-1),"")</f>
        <v>Tarea 3</v>
      </c>
      <c r="B4" s="53">
        <f>IFERROR(MATCH(Datos!$A4,Configura!$B$9:$B$18,0),0)</f>
        <v>8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>AL-114</v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AL-114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AL114:AL121</v>
      </c>
    </row>
    <row r="5" spans="1:16" ht="17" thickTop="1" thickBot="1" x14ac:dyDescent="0.25">
      <c r="A5" s="56" t="str">
        <f>IFERROR(IF(Datos!$A5="","",Idiomas!$A$12&amp;" "&amp;ROW()-1),"")</f>
        <v>Tarea 4</v>
      </c>
      <c r="B5" s="57">
        <f>IFERROR(MATCH(Datos!$A5,Configura!$B$9:$B$18,0),0)</f>
        <v>8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>AL-105</v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AL-105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AL105:AL112</v>
      </c>
    </row>
    <row r="6" spans="1:16" ht="17" thickTop="1" thickBot="1" x14ac:dyDescent="0.25">
      <c r="A6" s="52" t="str">
        <f>IFERROR(IF(Datos!$A6="","",Idiomas!$A$12&amp;" "&amp;ROW()-1),"")</f>
        <v>Tarea 5</v>
      </c>
      <c r="B6" s="53">
        <f>IFERROR(MATCH(Datos!$A6,Configura!$B$9:$B$18,0),0)</f>
        <v>8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>AL-96</v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AL-96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AL96:AL103</v>
      </c>
    </row>
    <row r="7" spans="1:16" ht="17" thickTop="1" thickBot="1" x14ac:dyDescent="0.25">
      <c r="A7" s="56" t="str">
        <f>IFERROR(IF(Datos!$A7="","",Idiomas!$A$12&amp;" "&amp;ROW()-1),"")</f>
        <v>Tarea 6</v>
      </c>
      <c r="B7" s="57">
        <f>IFERROR(MATCH(Datos!$A7,Configura!$B$9:$B$18,0),0)</f>
        <v>8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>AL-87</v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AL-87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AL87:AL94</v>
      </c>
    </row>
    <row r="8" spans="1:16" ht="17" thickTop="1" thickBot="1" x14ac:dyDescent="0.25">
      <c r="A8" s="52" t="str">
        <f>IFERROR(IF(Datos!$A8="","",Idiomas!$A$12&amp;" "&amp;ROW()-1),"")</f>
        <v>Tarea 7</v>
      </c>
      <c r="B8" s="53">
        <f>IFERROR(MATCH(Datos!$A8,Configura!$B$9:$B$18,0),0)</f>
        <v>8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>AL-78</v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AL-78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AL78:AL85</v>
      </c>
    </row>
    <row r="9" spans="1:16" ht="17" thickTop="1" thickBot="1" x14ac:dyDescent="0.25">
      <c r="A9" s="56" t="str">
        <f>IFERROR(IF(Datos!$A9="","",Idiomas!$A$12&amp;" "&amp;ROW()-1),"")</f>
        <v>Tarea 8</v>
      </c>
      <c r="B9" s="57">
        <f>IFERROR(MATCH(Datos!$A9,Configura!$B$9:$B$18,0),0)</f>
        <v>8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>AL-69</v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AL-69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AL69:AL76</v>
      </c>
    </row>
    <row r="10" spans="1:16" ht="17" thickTop="1" thickBot="1" x14ac:dyDescent="0.25">
      <c r="A10" s="52" t="str">
        <f>IFERROR(IF(Datos!$A10="","",Idiomas!$A$12&amp;" "&amp;ROW()-1),"")</f>
        <v>Tarea 9</v>
      </c>
      <c r="B10" s="53">
        <f>IFERROR(MATCH(Datos!$A10,Configura!$B$9:$B$18,0),0)</f>
        <v>8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>AL-60</v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AL-60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AL60:AL67</v>
      </c>
    </row>
    <row r="11" spans="1:16" ht="17" thickTop="1" thickBot="1" x14ac:dyDescent="0.25">
      <c r="A11" s="56" t="str">
        <f>IFERROR(IF(Datos!$A11="","",Idiomas!$A$12&amp;" "&amp;ROW()-1),"")</f>
        <v>Tarea 10</v>
      </c>
      <c r="B11" s="57">
        <f>IFERROR(MATCH(Datos!$A11,Configura!$B$9:$B$18,0),0)</f>
        <v>8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>AL-51</v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AL-51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AL51:AL58</v>
      </c>
    </row>
    <row r="12" spans="1:16" ht="17" thickTop="1" thickBot="1" x14ac:dyDescent="0.25">
      <c r="A12" s="52" t="str">
        <f>IFERROR(IF(Datos!$A12="","",Idiomas!$A$12&amp;" "&amp;ROW()-1),"")</f>
        <v>Tarea 11</v>
      </c>
      <c r="B12" s="53">
        <f>IFERROR(MATCH(Datos!$A12,Configura!$B$9:$B$18,0),0)</f>
        <v>8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>AL-42</v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AL-42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AL42:AL49</v>
      </c>
    </row>
    <row r="13" spans="1:16" ht="17" thickTop="1" thickBot="1" x14ac:dyDescent="0.25">
      <c r="A13" s="56" t="str">
        <f>IFERROR(IF(Datos!$A13="","",Idiomas!$A$12&amp;" "&amp;ROW()-1),"")</f>
        <v>Tarea 12</v>
      </c>
      <c r="B13" s="57">
        <f>IFERROR(MATCH(Datos!$A13,Configura!$B$9:$B$18,0),0)</f>
        <v>8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>AL-33</v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AL-33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AL33:AL40</v>
      </c>
    </row>
    <row r="14" spans="1:16" ht="17" thickTop="1" thickBot="1" x14ac:dyDescent="0.25">
      <c r="A14" s="52" t="str">
        <f>IFERROR(IF(Datos!$A14="","",Idiomas!$A$12&amp;" "&amp;ROW()-1),"")</f>
        <v>Tarea 13</v>
      </c>
      <c r="B14" s="53">
        <f>IFERROR(MATCH(Datos!$A14,Configura!$B$9:$B$18,0),0)</f>
        <v>8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>AL-24</v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AL-24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AL24:AL31</v>
      </c>
    </row>
    <row r="15" spans="1:16" ht="17" thickTop="1" thickBot="1" x14ac:dyDescent="0.25">
      <c r="A15" s="56" t="str">
        <f>IFERROR(IF(Datos!$A15="","",Idiomas!$A$12&amp;" "&amp;ROW()-1),"")</f>
        <v>Tarea 14</v>
      </c>
      <c r="B15" s="57">
        <f>IFERROR(MATCH(Datos!$A15,Configura!$B$9:$B$18,0),0)</f>
        <v>8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>AL-15</v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AL-15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AL15:AL22</v>
      </c>
    </row>
    <row r="16" spans="1:16" ht="17" thickTop="1" thickBot="1" x14ac:dyDescent="0.25">
      <c r="A16" s="52" t="str">
        <f>IFERROR(IF(Datos!$A16="","",Idiomas!$A$12&amp;" "&amp;ROW()-1),"")</f>
        <v>Tarea 15</v>
      </c>
      <c r="B16" s="53">
        <f>IFERROR(MATCH(Datos!$A16,Configura!$B$9:$B$18,0),0)</f>
        <v>8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>AL-6</v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AL-6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AL6:AL13</v>
      </c>
    </row>
    <row r="17" spans="1:16" ht="17" thickTop="1" thickBot="1" x14ac:dyDescent="0.25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H-6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H-6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H6:H13</v>
      </c>
    </row>
    <row r="18" spans="1:16" ht="17" thickTop="1" thickBot="1" x14ac:dyDescent="0.2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7" thickTop="1" thickBot="1" x14ac:dyDescent="0.2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7" thickTop="1" thickBot="1" x14ac:dyDescent="0.2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7" thickTop="1" thickBot="1" x14ac:dyDescent="0.2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7" thickTop="1" thickBot="1" x14ac:dyDescent="0.2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7" thickTop="1" thickBot="1" x14ac:dyDescent="0.2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7" thickTop="1" thickBot="1" x14ac:dyDescent="0.2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7" thickTop="1" thickBot="1" x14ac:dyDescent="0.2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7" thickTop="1" thickBot="1" x14ac:dyDescent="0.2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7" thickTop="1" thickBot="1" x14ac:dyDescent="0.2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7" thickTop="1" thickBot="1" x14ac:dyDescent="0.2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7" thickTop="1" thickBot="1" x14ac:dyDescent="0.2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7" thickTop="1" thickBot="1" x14ac:dyDescent="0.2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7" thickTop="1" thickBot="1" x14ac:dyDescent="0.2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7" thickTop="1" thickBot="1" x14ac:dyDescent="0.2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7" thickTop="1" thickBot="1" x14ac:dyDescent="0.2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7" thickTop="1" thickBot="1" x14ac:dyDescent="0.2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7" thickTop="1" thickBot="1" x14ac:dyDescent="0.2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7" thickTop="1" thickBot="1" x14ac:dyDescent="0.2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7" thickTop="1" thickBot="1" x14ac:dyDescent="0.2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7" thickTop="1" thickBot="1" x14ac:dyDescent="0.2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7" thickTop="1" thickBot="1" x14ac:dyDescent="0.2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7" thickTop="1" thickBot="1" x14ac:dyDescent="0.2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7" thickTop="1" thickBot="1" x14ac:dyDescent="0.2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7" thickTop="1" thickBot="1" x14ac:dyDescent="0.2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7" thickTop="1" thickBot="1" x14ac:dyDescent="0.2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7" thickTop="1" thickBot="1" x14ac:dyDescent="0.2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7" thickTop="1" thickBot="1" x14ac:dyDescent="0.2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7" thickTop="1" thickBot="1" x14ac:dyDescent="0.2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7" thickTop="1" thickBot="1" x14ac:dyDescent="0.2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7" thickTop="1" thickBot="1" x14ac:dyDescent="0.2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7" thickTop="1" thickBot="1" x14ac:dyDescent="0.2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7" thickTop="1" thickBot="1" x14ac:dyDescent="0.2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7" thickTop="1" thickBot="1" x14ac:dyDescent="0.2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7" thickTop="1" thickBot="1" x14ac:dyDescent="0.2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7" thickTop="1" thickBot="1" x14ac:dyDescent="0.2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7" thickTop="1" thickBot="1" x14ac:dyDescent="0.2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7" thickTop="1" thickBot="1" x14ac:dyDescent="0.2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7" thickTop="1" thickBot="1" x14ac:dyDescent="0.2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7" thickTop="1" thickBot="1" x14ac:dyDescent="0.2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7" thickTop="1" thickBot="1" x14ac:dyDescent="0.2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7" thickTop="1" thickBot="1" x14ac:dyDescent="0.2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7" thickTop="1" thickBot="1" x14ac:dyDescent="0.2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7" thickTop="1" thickBot="1" x14ac:dyDescent="0.2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7" thickTop="1" thickBot="1" x14ac:dyDescent="0.2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7" thickTop="1" thickBot="1" x14ac:dyDescent="0.2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7" thickTop="1" thickBot="1" x14ac:dyDescent="0.2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7" thickTop="1" thickBot="1" x14ac:dyDescent="0.2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7" thickTop="1" thickBot="1" x14ac:dyDescent="0.2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7" thickTop="1" thickBot="1" x14ac:dyDescent="0.2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7" thickTop="1" thickBot="1" x14ac:dyDescent="0.2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7" thickTop="1" thickBot="1" x14ac:dyDescent="0.2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7" thickTop="1" thickBot="1" x14ac:dyDescent="0.2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7" thickTop="1" thickBot="1" x14ac:dyDescent="0.2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7" thickTop="1" thickBot="1" x14ac:dyDescent="0.2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7" thickTop="1" thickBot="1" x14ac:dyDescent="0.2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7" thickTop="1" thickBot="1" x14ac:dyDescent="0.2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7" thickTop="1" thickBot="1" x14ac:dyDescent="0.2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7" thickTop="1" thickBot="1" x14ac:dyDescent="0.2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7" thickTop="1" thickBot="1" x14ac:dyDescent="0.2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7" thickTop="1" thickBot="1" x14ac:dyDescent="0.2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7" thickTop="1" thickBot="1" x14ac:dyDescent="0.2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7" thickTop="1" thickBot="1" x14ac:dyDescent="0.2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7" thickTop="1" thickBot="1" x14ac:dyDescent="0.2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7" thickTop="1" thickBot="1" x14ac:dyDescent="0.2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7" thickTop="1" thickBot="1" x14ac:dyDescent="0.2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7" thickTop="1" thickBot="1" x14ac:dyDescent="0.2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7" thickTop="1" thickBot="1" x14ac:dyDescent="0.25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7" thickTop="1" thickBot="1" x14ac:dyDescent="0.2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7" thickTop="1" thickBot="1" x14ac:dyDescent="0.2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7" thickTop="1" thickBot="1" x14ac:dyDescent="0.2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7" thickTop="1" thickBot="1" x14ac:dyDescent="0.2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7" thickTop="1" thickBot="1" x14ac:dyDescent="0.2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7" thickTop="1" thickBot="1" x14ac:dyDescent="0.2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7" thickTop="1" thickBot="1" x14ac:dyDescent="0.2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7" thickTop="1" thickBot="1" x14ac:dyDescent="0.2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7" thickTop="1" thickBot="1" x14ac:dyDescent="0.2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7" thickTop="1" thickBot="1" x14ac:dyDescent="0.2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7" thickTop="1" thickBot="1" x14ac:dyDescent="0.2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7" thickTop="1" thickBot="1" x14ac:dyDescent="0.2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7" thickTop="1" thickBot="1" x14ac:dyDescent="0.2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ca="1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7" thickTop="1" thickBot="1" x14ac:dyDescent="0.2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ca="1">E99&amp;F99&amp;G99&amp;H99&amp;I99&amp;J99&amp;K99&amp;L99&amp;M99&amp;N99</f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7" thickTop="1" thickBot="1" x14ac:dyDescent="0.2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ca="1">E100&amp;F100&amp;G100&amp;H100&amp;I100&amp;J100&amp;K100&amp;L100&amp;M100&amp;N100</f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7" thickTop="1" thickBot="1" x14ac:dyDescent="0.2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ca="1">E101&amp;F101&amp;G101&amp;H101&amp;I101&amp;J101&amp;K101&amp;L101&amp;M101&amp;N101</f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2" width="4.5" style="2" customWidth="1"/>
    <col min="3" max="6" width="4.5" style="1" customWidth="1"/>
    <col min="7" max="7" width="4.5" style="2" customWidth="1"/>
    <col min="8" max="11" width="4.5" style="1" customWidth="1"/>
    <col min="12" max="12" width="4.5" style="2" customWidth="1"/>
    <col min="13" max="16" width="4.5" style="1" customWidth="1"/>
    <col min="17" max="17" width="4.5" style="2" customWidth="1"/>
    <col min="18" max="21" width="4.5" style="1" customWidth="1"/>
    <col min="22" max="22" width="4.5" style="2" customWidth="1"/>
    <col min="23" max="26" width="4.5" style="1" customWidth="1"/>
    <col min="27" max="27" width="4.5" style="2" customWidth="1"/>
    <col min="28" max="31" width="4.5" style="1" customWidth="1"/>
    <col min="32" max="32" width="4.5" style="2" customWidth="1"/>
    <col min="33" max="36" width="4.5" style="1" customWidth="1"/>
    <col min="37" max="37" width="4.5" style="2" customWidth="1"/>
    <col min="38" max="41" width="4.5" style="1" customWidth="1"/>
    <col min="42" max="42" width="4.5" style="2" customWidth="1"/>
    <col min="43" max="46" width="4.5" style="1" customWidth="1"/>
    <col min="47" max="47" width="4.5" style="2" customWidth="1"/>
    <col min="48" max="51" width="4.5" style="1" customWidth="1"/>
    <col min="52" max="52" width="4.5" style="2" customWidth="1"/>
    <col min="53" max="16384" width="10.6640625" style="2" hidden="1"/>
  </cols>
  <sheetData>
    <row r="1" spans="1:51" s="23" customFormat="1" x14ac:dyDescent="0.2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>EN REVISIÓN</v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t="str" cm="1">
        <f t="array" aca="1" ref="Q2:Q101" ca="1">IF((misEstados=Q$1)*(misFiltros=1),ROW(misEstados)-1,"")</f>
        <v/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cm="1">
        <f t="array" aca="1" ref="AK2:AK101" ca="1">IF((misEstados=AK$1)*(misFiltros=1),ROW(misEstados)-1,"")</f>
        <v>1</v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16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 t="str">
        <f ca="1"/>
        <v/>
      </c>
      <c r="R3" s="20">
        <v>1</v>
      </c>
      <c r="S3" s="20" t="str">
        <f t="shared" ref="S3:S34" ca="1" si="3">IF(R3&gt;R2,IFERROR(IF(U$1="v",SMALL(Q$2:Q$101,R3),LARGE(Q$2:Q$101,R3)),""),S2)</f>
        <v/>
      </c>
      <c r="T3" s="20" t="str" cm="1">
        <f t="array" aca="1" ref="T3" ca="1">IF(S3="","",IF(S3&lt;&gt;S2,1,IF(T2=misLíneas-2,0,T2+1)))</f>
        <v/>
      </c>
      <c r="U3" s="20" t="str" cm="1">
        <f t="array" aca="1" ref="U3" ca="1">IF(OR(T3=0,T3=""),"",INDEX(misCriticidades,S3)&amp;"-"&amp;IFERROR(MATCH(T3,miOrdenTarjeta,0),0))</f>
        <v/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>
        <f ca="1"/>
        <v>2</v>
      </c>
      <c r="AL3" s="20">
        <v>1</v>
      </c>
      <c r="AM3" s="20">
        <f t="shared" ref="AM3:AM66" ca="1" si="7">IF(AL3&gt;AL2,IFERROR(IF(AO$1="v",SMALL(AK$2:AK$101,AL3),LARGE(AK$2:AK$101,AL3)),""),AM2)</f>
        <v>15</v>
      </c>
      <c r="AN3" s="20" cm="1">
        <f t="array" aca="1" ref="AN3" ca="1">IF(AM3="","",IF(AM3&lt;&gt;AM2,1,IF(AN2=misLíneas-2,0,AN2+1)))</f>
        <v>1</v>
      </c>
      <c r="AO3" s="20" t="str" cm="1">
        <f t="array" aca="1" ref="AO3" ca="1">IF(OR(AN3=0,AN3=""),"",INDEX(misCriticidades,AM3)&amp;"-"&amp;IFERROR(MATCH(AN3,miOrdenTarjeta,0),0))</f>
        <v>2-1</v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16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 t="str">
        <f ca="1"/>
        <v/>
      </c>
      <c r="R4" s="20">
        <f t="shared" ref="R4:R67" ca="1" si="13">R3--(T3=0)</f>
        <v>1</v>
      </c>
      <c r="S4" s="20" t="str">
        <f t="shared" ca="1" si="3"/>
        <v/>
      </c>
      <c r="T4" s="20" t="str" cm="1">
        <f t="array" aca="1" ref="T4" ca="1">IF(S4="","",IF(S4&lt;&gt;S3,1,IF(T3=misLíneas-2,0,T3+1)))</f>
        <v/>
      </c>
      <c r="U4" s="20" t="str" cm="1">
        <f t="array" aca="1" ref="U4" ca="1">IF(OR(T4=0,T4=""),"",INDEX(misCriticidades,S4)&amp;"-"&amp;IFERROR(MATCH(T4,miOrdenTarjeta,0),0))</f>
        <v/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>
        <f ca="1"/>
        <v>3</v>
      </c>
      <c r="AL4" s="20">
        <f t="shared" ref="AL4:AL67" ca="1" si="17">AL3--(AN3=0)</f>
        <v>1</v>
      </c>
      <c r="AM4" s="20">
        <f t="shared" ca="1" si="7"/>
        <v>15</v>
      </c>
      <c r="AN4" s="20" cm="1">
        <f t="array" aca="1" ref="AN4" ca="1">IF(AM4="","",IF(AM4&lt;&gt;AM3,1,IF(AN3=misLíneas-2,0,AN3+1)))</f>
        <v>2</v>
      </c>
      <c r="AO4" s="20" t="str" cm="1">
        <f t="array" aca="1" ref="AO4" ca="1">IF(OR(AN4=0,AN4=""),"",INDEX(misCriticidades,AM4)&amp;"-"&amp;IFERROR(MATCH(AN4,miOrdenTarjeta,0),0))</f>
        <v>2-2</v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16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 t="str">
        <f ca="1"/>
        <v/>
      </c>
      <c r="R5" s="20">
        <f t="shared" ca="1" si="13"/>
        <v>1</v>
      </c>
      <c r="S5" s="20" t="str">
        <f t="shared" ca="1" si="3"/>
        <v/>
      </c>
      <c r="T5" s="20" t="str" cm="1">
        <f t="array" aca="1" ref="T5" ca="1">IF(S5="","",IF(S5&lt;&gt;S4,1,IF(T4=misLíneas-2,0,T4+1)))</f>
        <v/>
      </c>
      <c r="U5" s="20" t="str" cm="1">
        <f t="array" aca="1" ref="U5" ca="1">IF(OR(T5=0,T5=""),"",INDEX(misCriticidades,S5)&amp;"-"&amp;IFERROR(MATCH(T5,miOrdenTarjeta,0),0))</f>
        <v/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>
        <f ca="1"/>
        <v>4</v>
      </c>
      <c r="AL5" s="20">
        <f t="shared" ca="1" si="17"/>
        <v>1</v>
      </c>
      <c r="AM5" s="20">
        <f t="shared" ca="1" si="7"/>
        <v>15</v>
      </c>
      <c r="AN5" s="20" cm="1">
        <f t="array" aca="1" ref="AN5" ca="1">IF(AM5="","",IF(AM5&lt;&gt;AM4,1,IF(AN4=misLíneas-2,0,AN4+1)))</f>
        <v>3</v>
      </c>
      <c r="AO5" s="20" t="str" cm="1">
        <f t="array" aca="1" ref="AO5" ca="1">IF(OR(AN5=0,AN5=""),"",INDEX(misCriticidades,AM5)&amp;"-"&amp;IFERROR(MATCH(AN5,miOrdenTarjeta,0),0))</f>
        <v>2-3</v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16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 t="str">
        <f ca="1"/>
        <v/>
      </c>
      <c r="R6" s="20">
        <f t="shared" ca="1" si="13"/>
        <v>1</v>
      </c>
      <c r="S6" s="20" t="str">
        <f t="shared" ca="1" si="3"/>
        <v/>
      </c>
      <c r="T6" s="20" t="str" cm="1">
        <f t="array" aca="1" ref="T6" ca="1">IF(S6="","",IF(S6&lt;&gt;S5,1,IF(T5=misLíneas-2,0,T5+1)))</f>
        <v/>
      </c>
      <c r="U6" s="20" t="str" cm="1">
        <f t="array" aca="1" ref="U6" ca="1">IF(OR(T6=0,T6=""),"",INDEX(misCriticidades,S6)&amp;"-"&amp;IFERROR(MATCH(T6,miOrdenTarjeta,0),0))</f>
        <v/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>
        <f ca="1"/>
        <v>5</v>
      </c>
      <c r="AL6" s="20">
        <f t="shared" ca="1" si="17"/>
        <v>1</v>
      </c>
      <c r="AM6" s="20">
        <f t="shared" ca="1" si="7"/>
        <v>15</v>
      </c>
      <c r="AN6" s="20" cm="1">
        <f t="array" aca="1" ref="AN6" ca="1">IF(AM6="","",IF(AM6&lt;&gt;AM5,1,IF(AN5=misLíneas-2,0,AN5+1)))</f>
        <v>4</v>
      </c>
      <c r="AO6" s="20" t="str" cm="1">
        <f t="array" aca="1" ref="AO6" ca="1">IF(OR(AN6=0,AN6=""),"",INDEX(misCriticidades,AM6)&amp;"-"&amp;IFERROR(MATCH(AN6,miOrdenTarjeta,0),0))</f>
        <v>2-4</v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16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 t="str">
        <f ca="1"/>
        <v/>
      </c>
      <c r="R7" s="20">
        <f t="shared" ca="1" si="13"/>
        <v>1</v>
      </c>
      <c r="S7" s="20" t="str">
        <f t="shared" ca="1" si="3"/>
        <v/>
      </c>
      <c r="T7" s="20" t="str" cm="1">
        <f t="array" aca="1" ref="T7" ca="1">IF(S7="","",IF(S7&lt;&gt;S6,1,IF(T6=misLíneas-2,0,T6+1)))</f>
        <v/>
      </c>
      <c r="U7" s="20" t="str" cm="1">
        <f t="array" aca="1" ref="U7" ca="1">IF(OR(T7=0,T7=""),"",INDEX(misCriticidades,S7)&amp;"-"&amp;IFERROR(MATCH(T7,miOrdenTarjeta,0),0))</f>
        <v/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>
        <f ca="1"/>
        <v>6</v>
      </c>
      <c r="AL7" s="20">
        <f t="shared" ca="1" si="17"/>
        <v>1</v>
      </c>
      <c r="AM7" s="20">
        <f t="shared" ca="1" si="7"/>
        <v>15</v>
      </c>
      <c r="AN7" s="20" cm="1">
        <f t="array" aca="1" ref="AN7" ca="1">IF(AM7="","",IF(AM7&lt;&gt;AM6,1,IF(AN6=misLíneas-2,0,AN6+1)))</f>
        <v>5</v>
      </c>
      <c r="AO7" s="20" t="str" cm="1">
        <f t="array" aca="1" ref="AO7" ca="1">IF(OR(AN7=0,AN7=""),"",INDEX(misCriticidades,AM7)&amp;"-"&amp;IFERROR(MATCH(AN7,miOrdenTarjeta,0),0))</f>
        <v>2-5</v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16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f ca="1"/>
        <v/>
      </c>
      <c r="R8" s="20">
        <f t="shared" ca="1" si="13"/>
        <v>1</v>
      </c>
      <c r="S8" s="20" t="str">
        <f t="shared" ca="1" si="3"/>
        <v/>
      </c>
      <c r="T8" s="20" t="str" cm="1">
        <f t="array" aca="1" ref="T8" ca="1">IF(S8="","",IF(S8&lt;&gt;S7,1,IF(T7=misLíneas-2,0,T7+1)))</f>
        <v/>
      </c>
      <c r="U8" s="20" t="str" cm="1">
        <f t="array" aca="1" ref="U8" ca="1">IF(OR(T8=0,T8=""),"",INDEX(misCriticidades,S8)&amp;"-"&amp;IFERROR(MATCH(T8,miOrdenTarjeta,0),0))</f>
        <v/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>
        <f ca="1"/>
        <v>7</v>
      </c>
      <c r="AL8" s="20">
        <f t="shared" ca="1" si="17"/>
        <v>1</v>
      </c>
      <c r="AM8" s="20">
        <f t="shared" ca="1" si="7"/>
        <v>15</v>
      </c>
      <c r="AN8" s="20" cm="1">
        <f t="array" aca="1" ref="AN8" ca="1">IF(AM8="","",IF(AM8&lt;&gt;AM7,1,IF(AN7=misLíneas-2,0,AN7+1)))</f>
        <v>6</v>
      </c>
      <c r="AO8" s="20" t="str" cm="1">
        <f t="array" aca="1" ref="AO8" ca="1">IF(OR(AN8=0,AN8=""),"",INDEX(misCriticidades,AM8)&amp;"-"&amp;IFERROR(MATCH(AN8,miOrdenTarjeta,0),0))</f>
        <v>2-6</v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16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 t="str">
        <f t="shared" ca="1" si="3"/>
        <v/>
      </c>
      <c r="T9" s="20" t="str" cm="1">
        <f t="array" aca="1" ref="T9" ca="1">IF(S9="","",IF(S9&lt;&gt;S8,1,IF(T8=misLíneas-2,0,T8+1)))</f>
        <v/>
      </c>
      <c r="U9" s="20" t="str" cm="1">
        <f t="array" aca="1" ref="U9" ca="1">IF(OR(T9=0,T9=""),"",INDEX(misCriticidades,S9)&amp;"-"&amp;IFERROR(MATCH(T9,miOrdenTarjeta,0),0))</f>
        <v/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>
        <f ca="1"/>
        <v>8</v>
      </c>
      <c r="AL9" s="20">
        <f t="shared" ca="1" si="17"/>
        <v>1</v>
      </c>
      <c r="AM9" s="20">
        <f t="shared" ca="1" si="7"/>
        <v>15</v>
      </c>
      <c r="AN9" s="20" cm="1">
        <f t="array" aca="1" ref="AN9" ca="1">IF(AM9="","",IF(AM9&lt;&gt;AM8,1,IF(AN8=misLíneas-2,0,AN8+1)))</f>
        <v>7</v>
      </c>
      <c r="AO9" s="20" t="str" cm="1">
        <f t="array" aca="1" ref="AO9" ca="1">IF(OR(AN9=0,AN9=""),"",INDEX(misCriticidades,AM9)&amp;"-"&amp;IFERROR(MATCH(AN9,miOrdenTarjeta,0),0))</f>
        <v>2-7</v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16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 t="str">
        <f t="shared" ca="1" si="3"/>
        <v/>
      </c>
      <c r="T10" s="20" t="str" cm="1">
        <f t="array" aca="1" ref="T10" ca="1">IF(S10="","",IF(S10&lt;&gt;S9,1,IF(T9=misLíneas-2,0,T9+1)))</f>
        <v/>
      </c>
      <c r="U10" s="20" t="str" cm="1">
        <f t="array" aca="1" ref="U10" ca="1">IF(OR(T10=0,T10=""),"",INDEX(misCriticidades,S10)&amp;"-"&amp;IFERROR(MATCH(T10,miOrdenTarjeta,0),0))</f>
        <v/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>
        <f ca="1"/>
        <v>9</v>
      </c>
      <c r="AL10" s="20">
        <f t="shared" ca="1" si="17"/>
        <v>1</v>
      </c>
      <c r="AM10" s="20">
        <f t="shared" ca="1" si="7"/>
        <v>15</v>
      </c>
      <c r="AN10" s="20" cm="1">
        <f t="array" aca="1" ref="AN10" ca="1">IF(AM10="","",IF(AM10&lt;&gt;AM9,1,IF(AN9=misLíneas-2,0,AN9+1)))</f>
        <v>8</v>
      </c>
      <c r="AO10" s="20" t="str" cm="1">
        <f t="array" aca="1" ref="AO10" ca="1">IF(OR(AN10=0,AN10=""),"",INDEX(misCriticidades,AM10)&amp;"-"&amp;IFERROR(MATCH(AN10,miOrdenTarjeta,0),0))</f>
        <v>2-8</v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16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 t="str">
        <f t="shared" ca="1" si="3"/>
        <v/>
      </c>
      <c r="T11" s="20" t="str" cm="1">
        <f t="array" aca="1" ref="T11" ca="1">IF(S11="","",IF(S11&lt;&gt;S10,1,IF(T10=misLíneas-2,0,T10+1)))</f>
        <v/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>
        <f ca="1"/>
        <v>10</v>
      </c>
      <c r="AL11" s="20">
        <f t="shared" ca="1" si="17"/>
        <v>1</v>
      </c>
      <c r="AM11" s="20">
        <f t="shared" ca="1" si="7"/>
        <v>15</v>
      </c>
      <c r="AN11" s="20" cm="1">
        <f t="array" aca="1" ref="AN11" ca="1">IF(AM11="","",IF(AM11&lt;&gt;AM10,1,IF(AN10=misLíneas-2,0,AN10+1)))</f>
        <v>0</v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1</v>
      </c>
      <c r="S12" s="20" t="str">
        <f t="shared" ca="1" si="3"/>
        <v/>
      </c>
      <c r="T12" s="20" t="str" cm="1">
        <f t="array" aca="1" ref="T12" ca="1">IF(S12="","",IF(S12&lt;&gt;S11,1,IF(T11=misLíneas-2,0,T11+1)))</f>
        <v/>
      </c>
      <c r="U12" s="20" t="str" cm="1">
        <f t="array" aca="1" ref="U12" ca="1">IF(OR(T12=0,T12=""),"",INDEX(misCriticidades,S12)&amp;"-"&amp;IFERROR(MATCH(T12,miOrdenTarjeta,0),0))</f>
        <v/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>
        <f ca="1"/>
        <v>11</v>
      </c>
      <c r="AL12" s="20">
        <f t="shared" ca="1" si="17"/>
        <v>2</v>
      </c>
      <c r="AM12" s="20">
        <f t="shared" ca="1" si="7"/>
        <v>14</v>
      </c>
      <c r="AN12" s="20" cm="1">
        <f t="array" aca="1" ref="AN12" ca="1">IF(AM12="","",IF(AM12&lt;&gt;AM11,1,IF(AN11=misLíneas-2,0,AN11+1)))</f>
        <v>1</v>
      </c>
      <c r="AO12" s="20" t="str" cm="1">
        <f t="array" aca="1" ref="AO12" ca="1">IF(OR(AN12=0,AN12=""),"",INDEX(misCriticidades,AM12)&amp;"-"&amp;IFERROR(MATCH(AN12,miOrdenTarjeta,0),0))</f>
        <v>2-1</v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1</v>
      </c>
      <c r="S13" s="20" t="str">
        <f t="shared" ca="1" si="3"/>
        <v/>
      </c>
      <c r="T13" s="20" t="str" cm="1">
        <f t="array" aca="1" ref="T13" ca="1">IF(S13="","",IF(S13&lt;&gt;S12,1,IF(T12=misLíneas-2,0,T12+1)))</f>
        <v/>
      </c>
      <c r="U13" s="20" t="str" cm="1">
        <f t="array" aca="1" ref="U13" ca="1">IF(OR(T13=0,T13=""),"",INDEX(misCriticidades,S13)&amp;"-"&amp;IFERROR(MATCH(T13,miOrdenTarjeta,0),0))</f>
        <v/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>
        <f ca="1"/>
        <v>12</v>
      </c>
      <c r="AL13" s="20">
        <f t="shared" ca="1" si="17"/>
        <v>2</v>
      </c>
      <c r="AM13" s="20">
        <f t="shared" ca="1" si="7"/>
        <v>14</v>
      </c>
      <c r="AN13" s="20" cm="1">
        <f t="array" aca="1" ref="AN13" ca="1">IF(AM13="","",IF(AM13&lt;&gt;AM12,1,IF(AN12=misLíneas-2,0,AN12+1)))</f>
        <v>2</v>
      </c>
      <c r="AO13" s="20" t="str" cm="1">
        <f t="array" aca="1" ref="AO13" ca="1">IF(OR(AN13=0,AN13=""),"",INDEX(misCriticidades,AM13)&amp;"-"&amp;IFERROR(MATCH(AN13,miOrdenTarjeta,0),0))</f>
        <v>2-2</v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1</v>
      </c>
      <c r="S14" s="20" t="str">
        <f t="shared" ca="1" si="3"/>
        <v/>
      </c>
      <c r="T14" s="20" t="str" cm="1">
        <f t="array" aca="1" ref="T14" ca="1">IF(S14="","",IF(S14&lt;&gt;S13,1,IF(T13=misLíneas-2,0,T13+1)))</f>
        <v/>
      </c>
      <c r="U14" s="20" t="str" cm="1">
        <f t="array" aca="1" ref="U14" ca="1">IF(OR(T14=0,T14=""),"",INDEX(misCriticidades,S14)&amp;"-"&amp;IFERROR(MATCH(T14,miOrdenTarjeta,0),0))</f>
        <v/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>
        <f ca="1"/>
        <v>13</v>
      </c>
      <c r="AL14" s="20">
        <f t="shared" ca="1" si="17"/>
        <v>2</v>
      </c>
      <c r="AM14" s="20">
        <f t="shared" ca="1" si="7"/>
        <v>14</v>
      </c>
      <c r="AN14" s="20" cm="1">
        <f t="array" aca="1" ref="AN14" ca="1">IF(AM14="","",IF(AM14&lt;&gt;AM13,1,IF(AN13=misLíneas-2,0,AN13+1)))</f>
        <v>3</v>
      </c>
      <c r="AO14" s="20" t="str" cm="1">
        <f t="array" aca="1" ref="AO14" ca="1">IF(OR(AN14=0,AN14=""),"",INDEX(misCriticidades,AM14)&amp;"-"&amp;IFERROR(MATCH(AN14,miOrdenTarjeta,0),0))</f>
        <v>2-3</v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1</v>
      </c>
      <c r="S15" s="20" t="str">
        <f t="shared" ca="1" si="3"/>
        <v/>
      </c>
      <c r="T15" s="20" t="str" cm="1">
        <f t="array" aca="1" ref="T15" ca="1">IF(S15="","",IF(S15&lt;&gt;S14,1,IF(T14=misLíneas-2,0,T14+1)))</f>
        <v/>
      </c>
      <c r="U15" s="20" t="str" cm="1">
        <f t="array" aca="1" ref="U15" ca="1">IF(OR(T15=0,T15=""),"",INDEX(misCriticidades,S15)&amp;"-"&amp;IFERROR(MATCH(T15,miOrdenTarjeta,0),0))</f>
        <v/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>
        <f ca="1"/>
        <v>14</v>
      </c>
      <c r="AL15" s="20">
        <f t="shared" ca="1" si="17"/>
        <v>2</v>
      </c>
      <c r="AM15" s="20">
        <f t="shared" ca="1" si="7"/>
        <v>14</v>
      </c>
      <c r="AN15" s="20" cm="1">
        <f t="array" aca="1" ref="AN15" ca="1">IF(AM15="","",IF(AM15&lt;&gt;AM14,1,IF(AN14=misLíneas-2,0,AN14+1)))</f>
        <v>4</v>
      </c>
      <c r="AO15" s="20" t="str" cm="1">
        <f t="array" aca="1" ref="AO15" ca="1">IF(OR(AN15=0,AN15=""),"",INDEX(misCriticidades,AM15)&amp;"-"&amp;IFERROR(MATCH(AN15,miOrdenTarjeta,0),0))</f>
        <v>2-4</v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1</v>
      </c>
      <c r="S16" s="20" t="str">
        <f t="shared" ca="1" si="3"/>
        <v/>
      </c>
      <c r="T16" s="20" t="str" cm="1">
        <f t="array" aca="1" ref="T16" ca="1">IF(S16="","",IF(S16&lt;&gt;S15,1,IF(T15=misLíneas-2,0,T15+1)))</f>
        <v/>
      </c>
      <c r="U16" s="20" t="str" cm="1">
        <f t="array" aca="1" ref="U16" ca="1">IF(OR(T16=0,T16=""),"",INDEX(misCriticidades,S16)&amp;"-"&amp;IFERROR(MATCH(T16,miOrdenTarjeta,0),0))</f>
        <v/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>
        <f ca="1"/>
        <v>15</v>
      </c>
      <c r="AL16" s="20">
        <f t="shared" ca="1" si="17"/>
        <v>2</v>
      </c>
      <c r="AM16" s="20">
        <f t="shared" ca="1" si="7"/>
        <v>14</v>
      </c>
      <c r="AN16" s="20" cm="1">
        <f t="array" aca="1" ref="AN16" ca="1">IF(AM16="","",IF(AM16&lt;&gt;AM15,1,IF(AN15=misLíneas-2,0,AN15+1)))</f>
        <v>5</v>
      </c>
      <c r="AO16" s="20" t="str" cm="1">
        <f t="array" aca="1" ref="AO16" ca="1">IF(OR(AN16=0,AN16=""),"",INDEX(misCriticidades,AM16)&amp;"-"&amp;IFERROR(MATCH(AN16,miOrdenTarjeta,0),0))</f>
        <v>2-5</v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>
        <f ca="1"/>
        <v>16</v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1</v>
      </c>
      <c r="S17" s="20" t="str">
        <f t="shared" ca="1" si="3"/>
        <v/>
      </c>
      <c r="T17" s="20" t="str" cm="1">
        <f t="array" aca="1" ref="T17" ca="1">IF(S17="","",IF(S17&lt;&gt;S16,1,IF(T16=misLíneas-2,0,T16+1)))</f>
        <v/>
      </c>
      <c r="U17" s="20" t="str" cm="1">
        <f t="array" aca="1" ref="U17" ca="1">IF(OR(T17=0,T17=""),"",INDEX(misCriticidades,S17)&amp;"-"&amp;IFERROR(MATCH(T17,miOrdenTarjeta,0),0))</f>
        <v/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2</v>
      </c>
      <c r="AM17" s="20">
        <f t="shared" ca="1" si="7"/>
        <v>14</v>
      </c>
      <c r="AN17" s="20" cm="1">
        <f t="array" aca="1" ref="AN17" ca="1">IF(AM17="","",IF(AM17&lt;&gt;AM16,1,IF(AN16=misLíneas-2,0,AN16+1)))</f>
        <v>6</v>
      </c>
      <c r="AO17" s="20" t="str" cm="1">
        <f t="array" aca="1" ref="AO17" ca="1">IF(OR(AN17=0,AN17=""),"",INDEX(misCriticidades,AM17)&amp;"-"&amp;IFERROR(MATCH(AN17,miOrdenTarjeta,0),0))</f>
        <v>2-6</v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1</v>
      </c>
      <c r="S18" s="20" t="str">
        <f t="shared" ca="1" si="3"/>
        <v/>
      </c>
      <c r="T18" s="20" t="str" cm="1">
        <f t="array" aca="1" ref="T18" ca="1">IF(S18="","",IF(S18&lt;&gt;S17,1,IF(T17=misLíneas-2,0,T17+1)))</f>
        <v/>
      </c>
      <c r="U18" s="20" t="str" cm="1">
        <f t="array" aca="1" ref="U18" ca="1">IF(OR(T18=0,T18=""),"",INDEX(misCriticidades,S18)&amp;"-"&amp;IFERROR(MATCH(T18,miOrdenTarjeta,0),0))</f>
        <v/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2</v>
      </c>
      <c r="AM18" s="20">
        <f t="shared" ca="1" si="7"/>
        <v>14</v>
      </c>
      <c r="AN18" s="20" cm="1">
        <f t="array" aca="1" ref="AN18" ca="1">IF(AM18="","",IF(AM18&lt;&gt;AM17,1,IF(AN17=misLíneas-2,0,AN17+1)))</f>
        <v>7</v>
      </c>
      <c r="AO18" s="20" t="str" cm="1">
        <f t="array" aca="1" ref="AO18" ca="1">IF(OR(AN18=0,AN18=""),"",INDEX(misCriticidades,AM18)&amp;"-"&amp;IFERROR(MATCH(AN18,miOrdenTarjeta,0),0))</f>
        <v>2-7</v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1</v>
      </c>
      <c r="S19" s="20" t="str">
        <f t="shared" ca="1" si="3"/>
        <v/>
      </c>
      <c r="T19" s="20" t="str" cm="1">
        <f t="array" aca="1" ref="T19" ca="1">IF(S19="","",IF(S19&lt;&gt;S18,1,IF(T18=misLíneas-2,0,T18+1)))</f>
        <v/>
      </c>
      <c r="U19" s="20" t="str" cm="1">
        <f t="array" aca="1" ref="U19" ca="1">IF(OR(T19=0,T19=""),"",INDEX(misCriticidades,S19)&amp;"-"&amp;IFERROR(MATCH(T19,miOrdenTarjeta,0),0))</f>
        <v/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2</v>
      </c>
      <c r="AM19" s="20">
        <f t="shared" ca="1" si="7"/>
        <v>14</v>
      </c>
      <c r="AN19" s="20" cm="1">
        <f t="array" aca="1" ref="AN19" ca="1">IF(AM19="","",IF(AM19&lt;&gt;AM18,1,IF(AN18=misLíneas-2,0,AN18+1)))</f>
        <v>8</v>
      </c>
      <c r="AO19" s="20" t="str" cm="1">
        <f t="array" aca="1" ref="AO19" ca="1">IF(OR(AN19=0,AN19=""),"",INDEX(misCriticidades,AM19)&amp;"-"&amp;IFERROR(MATCH(AN19,miOrdenTarjeta,0),0))</f>
        <v>2-8</v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1</v>
      </c>
      <c r="S20" s="20" t="str">
        <f t="shared" ca="1" si="3"/>
        <v/>
      </c>
      <c r="T20" s="20" t="str" cm="1">
        <f t="array" aca="1" ref="T20" ca="1">IF(S20="","",IF(S20&lt;&gt;S19,1,IF(T19=misLíneas-2,0,T19+1)))</f>
        <v/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2</v>
      </c>
      <c r="AM20" s="20">
        <f t="shared" ca="1" si="7"/>
        <v>14</v>
      </c>
      <c r="AN20" s="20" cm="1">
        <f t="array" aca="1" ref="AN20" ca="1">IF(AM20="","",IF(AM20&lt;&gt;AM19,1,IF(AN19=misLíneas-2,0,AN19+1)))</f>
        <v>0</v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1</v>
      </c>
      <c r="S21" s="20" t="str">
        <f t="shared" ca="1" si="3"/>
        <v/>
      </c>
      <c r="T21" s="20" t="str" cm="1">
        <f t="array" aca="1" ref="T21" ca="1">IF(S21="","",IF(S21&lt;&gt;S20,1,IF(T20=misLíneas-2,0,T20+1)))</f>
        <v/>
      </c>
      <c r="U21" s="20" t="str" cm="1">
        <f t="array" aca="1" ref="U21" ca="1">IF(OR(T21=0,T21=""),"",INDEX(misCriticidades,S21)&amp;"-"&amp;IFERROR(MATCH(T21,miOrdenTarjeta,0),0))</f>
        <v/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3</v>
      </c>
      <c r="AM21" s="20">
        <f t="shared" ca="1" si="7"/>
        <v>13</v>
      </c>
      <c r="AN21" s="20" cm="1">
        <f t="array" aca="1" ref="AN21" ca="1">IF(AM21="","",IF(AM21&lt;&gt;AM20,1,IF(AN20=misLíneas-2,0,AN20+1)))</f>
        <v>1</v>
      </c>
      <c r="AO21" s="20" t="str" cm="1">
        <f t="array" aca="1" ref="AO21" ca="1">IF(OR(AN21=0,AN21=""),"",INDEX(misCriticidades,AM21)&amp;"-"&amp;IFERROR(MATCH(AN21,miOrdenTarjeta,0),0))</f>
        <v>2-1</v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1</v>
      </c>
      <c r="S22" s="20" t="str">
        <f t="shared" ca="1" si="3"/>
        <v/>
      </c>
      <c r="T22" s="20" t="str" cm="1">
        <f t="array" aca="1" ref="T22" ca="1">IF(S22="","",IF(S22&lt;&gt;S21,1,IF(T21=misLíneas-2,0,T21+1)))</f>
        <v/>
      </c>
      <c r="U22" s="20" t="str" cm="1">
        <f t="array" aca="1" ref="U22" ca="1">IF(OR(T22=0,T22=""),"",INDEX(misCriticidades,S22)&amp;"-"&amp;IFERROR(MATCH(T22,miOrdenTarjeta,0),0))</f>
        <v/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3</v>
      </c>
      <c r="AM22" s="20">
        <f t="shared" ca="1" si="7"/>
        <v>13</v>
      </c>
      <c r="AN22" s="20" cm="1">
        <f t="array" aca="1" ref="AN22" ca="1">IF(AM22="","",IF(AM22&lt;&gt;AM21,1,IF(AN21=misLíneas-2,0,AN21+1)))</f>
        <v>2</v>
      </c>
      <c r="AO22" s="20" t="str" cm="1">
        <f t="array" aca="1" ref="AO22" ca="1">IF(OR(AN22=0,AN22=""),"",INDEX(misCriticidades,AM22)&amp;"-"&amp;IFERROR(MATCH(AN22,miOrdenTarjeta,0),0))</f>
        <v>2-2</v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1</v>
      </c>
      <c r="S23" s="20" t="str">
        <f t="shared" ca="1" si="3"/>
        <v/>
      </c>
      <c r="T23" s="20" t="str" cm="1">
        <f t="array" aca="1" ref="T23" ca="1">IF(S23="","",IF(S23&lt;&gt;S22,1,IF(T22=misLíneas-2,0,T22+1)))</f>
        <v/>
      </c>
      <c r="U23" s="20" t="str" cm="1">
        <f t="array" aca="1" ref="U23" ca="1">IF(OR(T23=0,T23=""),"",INDEX(misCriticidades,S23)&amp;"-"&amp;IFERROR(MATCH(T23,miOrdenTarjeta,0),0))</f>
        <v/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3</v>
      </c>
      <c r="AM23" s="20">
        <f t="shared" ca="1" si="7"/>
        <v>13</v>
      </c>
      <c r="AN23" s="20" cm="1">
        <f t="array" aca="1" ref="AN23" ca="1">IF(AM23="","",IF(AM23&lt;&gt;AM22,1,IF(AN22=misLíneas-2,0,AN22+1)))</f>
        <v>3</v>
      </c>
      <c r="AO23" s="20" t="str" cm="1">
        <f t="array" aca="1" ref="AO23" ca="1">IF(OR(AN23=0,AN23=""),"",INDEX(misCriticidades,AM23)&amp;"-"&amp;IFERROR(MATCH(AN23,miOrdenTarjeta,0),0))</f>
        <v>2-3</v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1</v>
      </c>
      <c r="S24" s="20" t="str">
        <f t="shared" ca="1" si="3"/>
        <v/>
      </c>
      <c r="T24" s="20" t="str" cm="1">
        <f t="array" aca="1" ref="T24" ca="1">IF(S24="","",IF(S24&lt;&gt;S23,1,IF(T23=misLíneas-2,0,T23+1)))</f>
        <v/>
      </c>
      <c r="U24" s="20" t="str" cm="1">
        <f t="array" aca="1" ref="U24" ca="1">IF(OR(T24=0,T24=""),"",INDEX(misCriticidades,S24)&amp;"-"&amp;IFERROR(MATCH(T24,miOrdenTarjeta,0),0))</f>
        <v/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3</v>
      </c>
      <c r="AM24" s="20">
        <f t="shared" ca="1" si="7"/>
        <v>13</v>
      </c>
      <c r="AN24" s="20" cm="1">
        <f t="array" aca="1" ref="AN24" ca="1">IF(AM24="","",IF(AM24&lt;&gt;AM23,1,IF(AN23=misLíneas-2,0,AN23+1)))</f>
        <v>4</v>
      </c>
      <c r="AO24" s="20" t="str" cm="1">
        <f t="array" aca="1" ref="AO24" ca="1">IF(OR(AN24=0,AN24=""),"",INDEX(misCriticidades,AM24)&amp;"-"&amp;IFERROR(MATCH(AN24,miOrdenTarjeta,0),0))</f>
        <v>2-4</v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1</v>
      </c>
      <c r="S25" s="20" t="str">
        <f t="shared" ca="1" si="3"/>
        <v/>
      </c>
      <c r="T25" s="20" t="str" cm="1">
        <f t="array" aca="1" ref="T25" ca="1">IF(S25="","",IF(S25&lt;&gt;S24,1,IF(T24=misLíneas-2,0,T24+1)))</f>
        <v/>
      </c>
      <c r="U25" s="20" t="str" cm="1">
        <f t="array" aca="1" ref="U25" ca="1">IF(OR(T25=0,T25=""),"",INDEX(misCriticidades,S25)&amp;"-"&amp;IFERROR(MATCH(T25,miOrdenTarjeta,0),0))</f>
        <v/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3</v>
      </c>
      <c r="AM25" s="20">
        <f t="shared" ca="1" si="7"/>
        <v>13</v>
      </c>
      <c r="AN25" s="20" cm="1">
        <f t="array" aca="1" ref="AN25" ca="1">IF(AM25="","",IF(AM25&lt;&gt;AM24,1,IF(AN24=misLíneas-2,0,AN24+1)))</f>
        <v>5</v>
      </c>
      <c r="AO25" s="20" t="str" cm="1">
        <f t="array" aca="1" ref="AO25" ca="1">IF(OR(AN25=0,AN25=""),"",INDEX(misCriticidades,AM25)&amp;"-"&amp;IFERROR(MATCH(AN25,miOrdenTarjeta,0),0))</f>
        <v>2-5</v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1</v>
      </c>
      <c r="S26" s="20" t="str">
        <f t="shared" ca="1" si="3"/>
        <v/>
      </c>
      <c r="T26" s="20" t="str" cm="1">
        <f t="array" aca="1" ref="T26" ca="1">IF(S26="","",IF(S26&lt;&gt;S25,1,IF(T25=misLíneas-2,0,T25+1)))</f>
        <v/>
      </c>
      <c r="U26" s="20" t="str" cm="1">
        <f t="array" aca="1" ref="U26" ca="1">IF(OR(T26=0,T26=""),"",INDEX(misCriticidades,S26)&amp;"-"&amp;IFERROR(MATCH(T26,miOrdenTarjeta,0),0))</f>
        <v/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3</v>
      </c>
      <c r="AM26" s="20">
        <f t="shared" ca="1" si="7"/>
        <v>13</v>
      </c>
      <c r="AN26" s="20" cm="1">
        <f t="array" aca="1" ref="AN26" ca="1">IF(AM26="","",IF(AM26&lt;&gt;AM25,1,IF(AN25=misLíneas-2,0,AN25+1)))</f>
        <v>6</v>
      </c>
      <c r="AO26" s="20" t="str" cm="1">
        <f t="array" aca="1" ref="AO26" ca="1">IF(OR(AN26=0,AN26=""),"",INDEX(misCriticidades,AM26)&amp;"-"&amp;IFERROR(MATCH(AN26,miOrdenTarjeta,0),0))</f>
        <v>2-6</v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1</v>
      </c>
      <c r="S27" s="20" t="str">
        <f t="shared" ca="1" si="3"/>
        <v/>
      </c>
      <c r="T27" s="20" t="str" cm="1">
        <f t="array" aca="1" ref="T27" ca="1">IF(S27="","",IF(S27&lt;&gt;S26,1,IF(T26=misLíneas-2,0,T26+1)))</f>
        <v/>
      </c>
      <c r="U27" s="20" t="str" cm="1">
        <f t="array" aca="1" ref="U27" ca="1">IF(OR(T27=0,T27=""),"",INDEX(misCriticidades,S27)&amp;"-"&amp;IFERROR(MATCH(T27,miOrdenTarjeta,0),0))</f>
        <v/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3</v>
      </c>
      <c r="AM27" s="20">
        <f t="shared" ca="1" si="7"/>
        <v>13</v>
      </c>
      <c r="AN27" s="20" cm="1">
        <f t="array" aca="1" ref="AN27" ca="1">IF(AM27="","",IF(AM27&lt;&gt;AM26,1,IF(AN26=misLíneas-2,0,AN26+1)))</f>
        <v>7</v>
      </c>
      <c r="AO27" s="20" t="str" cm="1">
        <f t="array" aca="1" ref="AO27" ca="1">IF(OR(AN27=0,AN27=""),"",INDEX(misCriticidades,AM27)&amp;"-"&amp;IFERROR(MATCH(AN27,miOrdenTarjeta,0),0))</f>
        <v>2-7</v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1</v>
      </c>
      <c r="S28" s="20" t="str">
        <f t="shared" ca="1" si="3"/>
        <v/>
      </c>
      <c r="T28" s="20" t="str" cm="1">
        <f t="array" aca="1" ref="T28" ca="1">IF(S28="","",IF(S28&lt;&gt;S27,1,IF(T27=misLíneas-2,0,T27+1)))</f>
        <v/>
      </c>
      <c r="U28" s="20" t="str" cm="1">
        <f t="array" aca="1" ref="U28" ca="1">IF(OR(T28=0,T28=""),"",INDEX(misCriticidades,S28)&amp;"-"&amp;IFERROR(MATCH(T28,miOrdenTarjeta,0),0))</f>
        <v/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3</v>
      </c>
      <c r="AM28" s="20">
        <f t="shared" ca="1" si="7"/>
        <v>13</v>
      </c>
      <c r="AN28" s="20" cm="1">
        <f t="array" aca="1" ref="AN28" ca="1">IF(AM28="","",IF(AM28&lt;&gt;AM27,1,IF(AN27=misLíneas-2,0,AN27+1)))</f>
        <v>8</v>
      </c>
      <c r="AO28" s="20" t="str" cm="1">
        <f t="array" aca="1" ref="AO28" ca="1">IF(OR(AN28=0,AN28=""),"",INDEX(misCriticidades,AM28)&amp;"-"&amp;IFERROR(MATCH(AN28,miOrdenTarjeta,0),0))</f>
        <v>2-8</v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1</v>
      </c>
      <c r="S29" s="20" t="str">
        <f t="shared" ca="1" si="3"/>
        <v/>
      </c>
      <c r="T29" s="20" t="str" cm="1">
        <f t="array" aca="1" ref="T29" ca="1">IF(S29="","",IF(S29&lt;&gt;S28,1,IF(T28=misLíneas-2,0,T28+1)))</f>
        <v/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3</v>
      </c>
      <c r="AM29" s="20">
        <f t="shared" ca="1" si="7"/>
        <v>13</v>
      </c>
      <c r="AN29" s="20" cm="1">
        <f t="array" aca="1" ref="AN29" ca="1">IF(AM29="","",IF(AM29&lt;&gt;AM28,1,IF(AN28=misLíneas-2,0,AN28+1)))</f>
        <v>0</v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1</v>
      </c>
      <c r="S30" s="20" t="str">
        <f t="shared" ca="1" si="3"/>
        <v/>
      </c>
      <c r="T30" s="20" t="str" cm="1">
        <f t="array" aca="1" ref="T30" ca="1">IF(S30="","",IF(S30&lt;&gt;S29,1,IF(T29=misLíneas-2,0,T29+1)))</f>
        <v/>
      </c>
      <c r="U30" s="20" t="str" cm="1">
        <f t="array" aca="1" ref="U30" ca="1">IF(OR(T30=0,T30=""),"",INDEX(misCriticidades,S30)&amp;"-"&amp;IFERROR(MATCH(T30,miOrdenTarjeta,0),0))</f>
        <v/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4</v>
      </c>
      <c r="AM30" s="20">
        <f t="shared" ca="1" si="7"/>
        <v>12</v>
      </c>
      <c r="AN30" s="20" cm="1">
        <f t="array" aca="1" ref="AN30" ca="1">IF(AM30="","",IF(AM30&lt;&gt;AM29,1,IF(AN29=misLíneas-2,0,AN29+1)))</f>
        <v>1</v>
      </c>
      <c r="AO30" s="20" t="str" cm="1">
        <f t="array" aca="1" ref="AO30" ca="1">IF(OR(AN30=0,AN30=""),"",INDEX(misCriticidades,AM30)&amp;"-"&amp;IFERROR(MATCH(AN30,miOrdenTarjeta,0),0))</f>
        <v>2-1</v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1</v>
      </c>
      <c r="S31" s="20" t="str">
        <f t="shared" ca="1" si="3"/>
        <v/>
      </c>
      <c r="T31" s="20" t="str" cm="1">
        <f t="array" aca="1" ref="T31" ca="1">IF(S31="","",IF(S31&lt;&gt;S30,1,IF(T30=misLíneas-2,0,T30+1)))</f>
        <v/>
      </c>
      <c r="U31" s="20" t="str" cm="1">
        <f t="array" aca="1" ref="U31" ca="1">IF(OR(T31=0,T31=""),"",INDEX(misCriticidades,S31)&amp;"-"&amp;IFERROR(MATCH(T31,miOrdenTarjeta,0),0))</f>
        <v/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4</v>
      </c>
      <c r="AM31" s="20">
        <f t="shared" ca="1" si="7"/>
        <v>12</v>
      </c>
      <c r="AN31" s="20" cm="1">
        <f t="array" aca="1" ref="AN31" ca="1">IF(AM31="","",IF(AM31&lt;&gt;AM30,1,IF(AN30=misLíneas-2,0,AN30+1)))</f>
        <v>2</v>
      </c>
      <c r="AO31" s="20" t="str" cm="1">
        <f t="array" aca="1" ref="AO31" ca="1">IF(OR(AN31=0,AN31=""),"",INDEX(misCriticidades,AM31)&amp;"-"&amp;IFERROR(MATCH(AN31,miOrdenTarjeta,0),0))</f>
        <v>2-2</v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1</v>
      </c>
      <c r="S32" s="20" t="str">
        <f t="shared" ca="1" si="3"/>
        <v/>
      </c>
      <c r="T32" s="20" t="str" cm="1">
        <f t="array" aca="1" ref="T32" ca="1">IF(S32="","",IF(S32&lt;&gt;S31,1,IF(T31=misLíneas-2,0,T31+1)))</f>
        <v/>
      </c>
      <c r="U32" s="20" t="str" cm="1">
        <f t="array" aca="1" ref="U32" ca="1">IF(OR(T32=0,T32=""),"",INDEX(misCriticidades,S32)&amp;"-"&amp;IFERROR(MATCH(T32,miOrdenTarjeta,0),0))</f>
        <v/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4</v>
      </c>
      <c r="AM32" s="20">
        <f t="shared" ca="1" si="7"/>
        <v>12</v>
      </c>
      <c r="AN32" s="20" cm="1">
        <f t="array" aca="1" ref="AN32" ca="1">IF(AM32="","",IF(AM32&lt;&gt;AM31,1,IF(AN31=misLíneas-2,0,AN31+1)))</f>
        <v>3</v>
      </c>
      <c r="AO32" s="20" t="str" cm="1">
        <f t="array" aca="1" ref="AO32" ca="1">IF(OR(AN32=0,AN32=""),"",INDEX(misCriticidades,AM32)&amp;"-"&amp;IFERROR(MATCH(AN32,miOrdenTarjeta,0),0))</f>
        <v>2-3</v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1</v>
      </c>
      <c r="S33" s="20" t="str">
        <f t="shared" ca="1" si="3"/>
        <v/>
      </c>
      <c r="T33" s="20" t="str" cm="1">
        <f t="array" aca="1" ref="T33" ca="1">IF(S33="","",IF(S33&lt;&gt;S32,1,IF(T32=misLíneas-2,0,T32+1)))</f>
        <v/>
      </c>
      <c r="U33" s="20" t="str" cm="1">
        <f t="array" aca="1" ref="U33" ca="1">IF(OR(T33=0,T33=""),"",INDEX(misCriticidades,S33)&amp;"-"&amp;IFERROR(MATCH(T33,miOrdenTarjeta,0),0))</f>
        <v/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4</v>
      </c>
      <c r="AM33" s="20">
        <f t="shared" ca="1" si="7"/>
        <v>12</v>
      </c>
      <c r="AN33" s="20" cm="1">
        <f t="array" aca="1" ref="AN33" ca="1">IF(AM33="","",IF(AM33&lt;&gt;AM32,1,IF(AN32=misLíneas-2,0,AN32+1)))</f>
        <v>4</v>
      </c>
      <c r="AO33" s="20" t="str" cm="1">
        <f t="array" aca="1" ref="AO33" ca="1">IF(OR(AN33=0,AN33=""),"",INDEX(misCriticidades,AM33)&amp;"-"&amp;IFERROR(MATCH(AN33,miOrdenTarjeta,0),0))</f>
        <v>2-4</v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1</v>
      </c>
      <c r="S34" s="20" t="str">
        <f t="shared" ca="1" si="3"/>
        <v/>
      </c>
      <c r="T34" s="20" t="str" cm="1">
        <f t="array" aca="1" ref="T34" ca="1">IF(S34="","",IF(S34&lt;&gt;S33,1,IF(T33=misLíneas-2,0,T33+1)))</f>
        <v/>
      </c>
      <c r="U34" s="20" t="str" cm="1">
        <f t="array" aca="1" ref="U34" ca="1">IF(OR(T34=0,T34=""),"",INDEX(misCriticidades,S34)&amp;"-"&amp;IFERROR(MATCH(T34,miOrdenTarjeta,0),0))</f>
        <v/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4</v>
      </c>
      <c r="AM34" s="20">
        <f t="shared" ca="1" si="7"/>
        <v>12</v>
      </c>
      <c r="AN34" s="20" cm="1">
        <f t="array" aca="1" ref="AN34" ca="1">IF(AM34="","",IF(AM34&lt;&gt;AM33,1,IF(AN33=misLíneas-2,0,AN33+1)))</f>
        <v>5</v>
      </c>
      <c r="AO34" s="20" t="str" cm="1">
        <f t="array" aca="1" ref="AO34" ca="1">IF(OR(AN34=0,AN34=""),"",INDEX(misCriticidades,AM34)&amp;"-"&amp;IFERROR(MATCH(AN34,miOrdenTarjeta,0),0))</f>
        <v>2-5</v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1</v>
      </c>
      <c r="S35" s="20" t="str">
        <f t="shared" ref="S35:S66" ca="1" si="24">IF(R35&gt;R34,IFERROR(IF(U$1="v",SMALL(Q$2:Q$101,R35),LARGE(Q$2:Q$101,R35)),""),S34)</f>
        <v/>
      </c>
      <c r="T35" s="20" t="str" cm="1">
        <f t="array" aca="1" ref="T35" ca="1">IF(S35="","",IF(S35&lt;&gt;S34,1,IF(T34=misLíneas-2,0,T34+1)))</f>
        <v/>
      </c>
      <c r="U35" s="20" t="str" cm="1">
        <f t="array" aca="1" ref="U35" ca="1">IF(OR(T35=0,T35=""),"",INDEX(misCriticidades,S35)&amp;"-"&amp;IFERROR(MATCH(T35,miOrdenTarjeta,0),0))</f>
        <v/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4</v>
      </c>
      <c r="AM35" s="20">
        <f t="shared" ca="1" si="7"/>
        <v>12</v>
      </c>
      <c r="AN35" s="20" cm="1">
        <f t="array" aca="1" ref="AN35" ca="1">IF(AM35="","",IF(AM35&lt;&gt;AM34,1,IF(AN34=misLíneas-2,0,AN34+1)))</f>
        <v>6</v>
      </c>
      <c r="AO35" s="20" t="str" cm="1">
        <f t="array" aca="1" ref="AO35" ca="1">IF(OR(AN35=0,AN35=""),"",INDEX(misCriticidades,AM35)&amp;"-"&amp;IFERROR(MATCH(AN35,miOrdenTarjeta,0),0))</f>
        <v>2-6</v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1</v>
      </c>
      <c r="S36" s="20" t="str">
        <f t="shared" ca="1" si="24"/>
        <v/>
      </c>
      <c r="T36" s="20" t="str" cm="1">
        <f t="array" aca="1" ref="T36" ca="1">IF(S36="","",IF(S36&lt;&gt;S35,1,IF(T35=misLíneas-2,0,T35+1)))</f>
        <v/>
      </c>
      <c r="U36" s="20" t="str" cm="1">
        <f t="array" aca="1" ref="U36" ca="1">IF(OR(T36=0,T36=""),"",INDEX(misCriticidades,S36)&amp;"-"&amp;IFERROR(MATCH(T36,miOrdenTarjeta,0),0))</f>
        <v/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4</v>
      </c>
      <c r="AM36" s="20">
        <f t="shared" ca="1" si="7"/>
        <v>12</v>
      </c>
      <c r="AN36" s="20" cm="1">
        <f t="array" aca="1" ref="AN36" ca="1">IF(AM36="","",IF(AM36&lt;&gt;AM35,1,IF(AN35=misLíneas-2,0,AN35+1)))</f>
        <v>7</v>
      </c>
      <c r="AO36" s="20" t="str" cm="1">
        <f t="array" aca="1" ref="AO36" ca="1">IF(OR(AN36=0,AN36=""),"",INDEX(misCriticidades,AM36)&amp;"-"&amp;IFERROR(MATCH(AN36,miOrdenTarjeta,0),0))</f>
        <v>2-7</v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1</v>
      </c>
      <c r="S37" s="20" t="str">
        <f t="shared" ca="1" si="24"/>
        <v/>
      </c>
      <c r="T37" s="20" t="str" cm="1">
        <f t="array" aca="1" ref="T37" ca="1">IF(S37="","",IF(S37&lt;&gt;S36,1,IF(T36=misLíneas-2,0,T36+1)))</f>
        <v/>
      </c>
      <c r="U37" s="20" t="str" cm="1">
        <f t="array" aca="1" ref="U37" ca="1">IF(OR(T37=0,T37=""),"",INDEX(misCriticidades,S37)&amp;"-"&amp;IFERROR(MATCH(T37,miOrdenTarjeta,0),0))</f>
        <v/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4</v>
      </c>
      <c r="AM37" s="20">
        <f t="shared" ca="1" si="7"/>
        <v>12</v>
      </c>
      <c r="AN37" s="20" cm="1">
        <f t="array" aca="1" ref="AN37" ca="1">IF(AM37="","",IF(AM37&lt;&gt;AM36,1,IF(AN36=misLíneas-2,0,AN36+1)))</f>
        <v>8</v>
      </c>
      <c r="AO37" s="20" t="str" cm="1">
        <f t="array" aca="1" ref="AO37" ca="1">IF(OR(AN37=0,AN37=""),"",INDEX(misCriticidades,AM37)&amp;"-"&amp;IFERROR(MATCH(AN37,miOrdenTarjeta,0),0))</f>
        <v>2-8</v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1</v>
      </c>
      <c r="S38" s="20" t="str">
        <f t="shared" ca="1" si="24"/>
        <v/>
      </c>
      <c r="T38" s="20" t="str" cm="1">
        <f t="array" aca="1" ref="T38" ca="1">IF(S38="","",IF(S38&lt;&gt;S37,1,IF(T37=misLíneas-2,0,T37+1)))</f>
        <v/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4</v>
      </c>
      <c r="AM38" s="20">
        <f t="shared" ca="1" si="7"/>
        <v>12</v>
      </c>
      <c r="AN38" s="20" cm="1">
        <f t="array" aca="1" ref="AN38" ca="1">IF(AM38="","",IF(AM38&lt;&gt;AM37,1,IF(AN37=misLíneas-2,0,AN37+1)))</f>
        <v>0</v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1</v>
      </c>
      <c r="S39" s="20" t="str">
        <f t="shared" ca="1" si="24"/>
        <v/>
      </c>
      <c r="T39" s="20" t="str" cm="1">
        <f t="array" aca="1" ref="T39" ca="1">IF(S39="","",IF(S39&lt;&gt;S38,1,IF(T38=misLíneas-2,0,T38+1)))</f>
        <v/>
      </c>
      <c r="U39" s="20" t="str" cm="1">
        <f t="array" aca="1" ref="U39" ca="1">IF(OR(T39=0,T39=""),"",INDEX(misCriticidades,S39)&amp;"-"&amp;IFERROR(MATCH(T39,miOrdenTarjeta,0),0))</f>
        <v/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5</v>
      </c>
      <c r="AM39" s="20">
        <f t="shared" ca="1" si="7"/>
        <v>11</v>
      </c>
      <c r="AN39" s="20" cm="1">
        <f t="array" aca="1" ref="AN39" ca="1">IF(AM39="","",IF(AM39&lt;&gt;AM38,1,IF(AN38=misLíneas-2,0,AN38+1)))</f>
        <v>1</v>
      </c>
      <c r="AO39" s="20" t="str" cm="1">
        <f t="array" aca="1" ref="AO39" ca="1">IF(OR(AN39=0,AN39=""),"",INDEX(misCriticidades,AM39)&amp;"-"&amp;IFERROR(MATCH(AN39,miOrdenTarjeta,0),0))</f>
        <v>2-1</v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1</v>
      </c>
      <c r="S40" s="20" t="str">
        <f t="shared" ca="1" si="24"/>
        <v/>
      </c>
      <c r="T40" s="20" t="str" cm="1">
        <f t="array" aca="1" ref="T40" ca="1">IF(S40="","",IF(S40&lt;&gt;S39,1,IF(T39=misLíneas-2,0,T39+1)))</f>
        <v/>
      </c>
      <c r="U40" s="20" t="str" cm="1">
        <f t="array" aca="1" ref="U40" ca="1">IF(OR(T40=0,T40=""),"",INDEX(misCriticidades,S40)&amp;"-"&amp;IFERROR(MATCH(T40,miOrdenTarjeta,0),0))</f>
        <v/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5</v>
      </c>
      <c r="AM40" s="20">
        <f t="shared" ca="1" si="7"/>
        <v>11</v>
      </c>
      <c r="AN40" s="20" cm="1">
        <f t="array" aca="1" ref="AN40" ca="1">IF(AM40="","",IF(AM40&lt;&gt;AM39,1,IF(AN39=misLíneas-2,0,AN39+1)))</f>
        <v>2</v>
      </c>
      <c r="AO40" s="20" t="str" cm="1">
        <f t="array" aca="1" ref="AO40" ca="1">IF(OR(AN40=0,AN40=""),"",INDEX(misCriticidades,AM40)&amp;"-"&amp;IFERROR(MATCH(AN40,miOrdenTarjeta,0),0))</f>
        <v>2-2</v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1</v>
      </c>
      <c r="S41" s="20" t="str">
        <f t="shared" ca="1" si="24"/>
        <v/>
      </c>
      <c r="T41" s="20" t="str" cm="1">
        <f t="array" aca="1" ref="T41" ca="1">IF(S41="","",IF(S41&lt;&gt;S40,1,IF(T40=misLíneas-2,0,T40+1)))</f>
        <v/>
      </c>
      <c r="U41" s="20" t="str" cm="1">
        <f t="array" aca="1" ref="U41" ca="1">IF(OR(T41=0,T41=""),"",INDEX(misCriticidades,S41)&amp;"-"&amp;IFERROR(MATCH(T41,miOrdenTarjeta,0),0))</f>
        <v/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5</v>
      </c>
      <c r="AM41" s="20">
        <f t="shared" ca="1" si="7"/>
        <v>11</v>
      </c>
      <c r="AN41" s="20" cm="1">
        <f t="array" aca="1" ref="AN41" ca="1">IF(AM41="","",IF(AM41&lt;&gt;AM40,1,IF(AN40=misLíneas-2,0,AN40+1)))</f>
        <v>3</v>
      </c>
      <c r="AO41" s="20" t="str" cm="1">
        <f t="array" aca="1" ref="AO41" ca="1">IF(OR(AN41=0,AN41=""),"",INDEX(misCriticidades,AM41)&amp;"-"&amp;IFERROR(MATCH(AN41,miOrdenTarjeta,0),0))</f>
        <v>2-3</v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1</v>
      </c>
      <c r="S42" s="20" t="str">
        <f t="shared" ca="1" si="24"/>
        <v/>
      </c>
      <c r="T42" s="20" t="str" cm="1">
        <f t="array" aca="1" ref="T42" ca="1">IF(S42="","",IF(S42&lt;&gt;S41,1,IF(T41=misLíneas-2,0,T41+1)))</f>
        <v/>
      </c>
      <c r="U42" s="20" t="str" cm="1">
        <f t="array" aca="1" ref="U42" ca="1">IF(OR(T42=0,T42=""),"",INDEX(misCriticidades,S42)&amp;"-"&amp;IFERROR(MATCH(T42,miOrdenTarjeta,0),0))</f>
        <v/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5</v>
      </c>
      <c r="AM42" s="20">
        <f t="shared" ca="1" si="7"/>
        <v>11</v>
      </c>
      <c r="AN42" s="20" cm="1">
        <f t="array" aca="1" ref="AN42" ca="1">IF(AM42="","",IF(AM42&lt;&gt;AM41,1,IF(AN41=misLíneas-2,0,AN41+1)))</f>
        <v>4</v>
      </c>
      <c r="AO42" s="20" t="str" cm="1">
        <f t="array" aca="1" ref="AO42" ca="1">IF(OR(AN42=0,AN42=""),"",INDEX(misCriticidades,AM42)&amp;"-"&amp;IFERROR(MATCH(AN42,miOrdenTarjeta,0),0))</f>
        <v>2-4</v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1</v>
      </c>
      <c r="S43" s="20" t="str">
        <f t="shared" ca="1" si="24"/>
        <v/>
      </c>
      <c r="T43" s="20" t="str" cm="1">
        <f t="array" aca="1" ref="T43" ca="1">IF(S43="","",IF(S43&lt;&gt;S42,1,IF(T42=misLíneas-2,0,T42+1)))</f>
        <v/>
      </c>
      <c r="U43" s="20" t="str" cm="1">
        <f t="array" aca="1" ref="U43" ca="1">IF(OR(T43=0,T43=""),"",INDEX(misCriticidades,S43)&amp;"-"&amp;IFERROR(MATCH(T43,miOrdenTarjeta,0),0))</f>
        <v/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5</v>
      </c>
      <c r="AM43" s="20">
        <f t="shared" ca="1" si="7"/>
        <v>11</v>
      </c>
      <c r="AN43" s="20" cm="1">
        <f t="array" aca="1" ref="AN43" ca="1">IF(AM43="","",IF(AM43&lt;&gt;AM42,1,IF(AN42=misLíneas-2,0,AN42+1)))</f>
        <v>5</v>
      </c>
      <c r="AO43" s="20" t="str" cm="1">
        <f t="array" aca="1" ref="AO43" ca="1">IF(OR(AN43=0,AN43=""),"",INDEX(misCriticidades,AM43)&amp;"-"&amp;IFERROR(MATCH(AN43,miOrdenTarjeta,0),0))</f>
        <v>2-5</v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1</v>
      </c>
      <c r="S44" s="20" t="str">
        <f t="shared" ca="1" si="24"/>
        <v/>
      </c>
      <c r="T44" s="20" t="str" cm="1">
        <f t="array" aca="1" ref="T44" ca="1">IF(S44="","",IF(S44&lt;&gt;S43,1,IF(T43=misLíneas-2,0,T43+1)))</f>
        <v/>
      </c>
      <c r="U44" s="20" t="str" cm="1">
        <f t="array" aca="1" ref="U44" ca="1">IF(OR(T44=0,T44=""),"",INDEX(misCriticidades,S44)&amp;"-"&amp;IFERROR(MATCH(T44,miOrdenTarjeta,0),0))</f>
        <v/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5</v>
      </c>
      <c r="AM44" s="20">
        <f t="shared" ca="1" si="7"/>
        <v>11</v>
      </c>
      <c r="AN44" s="20" cm="1">
        <f t="array" aca="1" ref="AN44" ca="1">IF(AM44="","",IF(AM44&lt;&gt;AM43,1,IF(AN43=misLíneas-2,0,AN43+1)))</f>
        <v>6</v>
      </c>
      <c r="AO44" s="20" t="str" cm="1">
        <f t="array" aca="1" ref="AO44" ca="1">IF(OR(AN44=0,AN44=""),"",INDEX(misCriticidades,AM44)&amp;"-"&amp;IFERROR(MATCH(AN44,miOrdenTarjeta,0),0))</f>
        <v>2-6</v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1</v>
      </c>
      <c r="S45" s="20" t="str">
        <f t="shared" ca="1" si="24"/>
        <v/>
      </c>
      <c r="T45" s="20" t="str" cm="1">
        <f t="array" aca="1" ref="T45" ca="1">IF(S45="","",IF(S45&lt;&gt;S44,1,IF(T44=misLíneas-2,0,T44+1)))</f>
        <v/>
      </c>
      <c r="U45" s="20" t="str" cm="1">
        <f t="array" aca="1" ref="U45" ca="1">IF(OR(T45=0,T45=""),"",INDEX(misCriticidades,S45)&amp;"-"&amp;IFERROR(MATCH(T45,miOrdenTarjeta,0),0))</f>
        <v/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5</v>
      </c>
      <c r="AM45" s="20">
        <f t="shared" ca="1" si="7"/>
        <v>11</v>
      </c>
      <c r="AN45" s="20" cm="1">
        <f t="array" aca="1" ref="AN45" ca="1">IF(AM45="","",IF(AM45&lt;&gt;AM44,1,IF(AN44=misLíneas-2,0,AN44+1)))</f>
        <v>7</v>
      </c>
      <c r="AO45" s="20" t="str" cm="1">
        <f t="array" aca="1" ref="AO45" ca="1">IF(OR(AN45=0,AN45=""),"",INDEX(misCriticidades,AM45)&amp;"-"&amp;IFERROR(MATCH(AN45,miOrdenTarjeta,0),0))</f>
        <v>2-7</v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1</v>
      </c>
      <c r="S46" s="20" t="str">
        <f t="shared" ca="1" si="24"/>
        <v/>
      </c>
      <c r="T46" s="20" t="str" cm="1">
        <f t="array" aca="1" ref="T46" ca="1">IF(S46="","",IF(S46&lt;&gt;S45,1,IF(T45=misLíneas-2,0,T45+1)))</f>
        <v/>
      </c>
      <c r="U46" s="20" t="str" cm="1">
        <f t="array" aca="1" ref="U46" ca="1">IF(OR(T46=0,T46=""),"",INDEX(misCriticidades,S46)&amp;"-"&amp;IFERROR(MATCH(T46,miOrdenTarjeta,0),0))</f>
        <v/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5</v>
      </c>
      <c r="AM46" s="20">
        <f t="shared" ca="1" si="7"/>
        <v>11</v>
      </c>
      <c r="AN46" s="20" cm="1">
        <f t="array" aca="1" ref="AN46" ca="1">IF(AM46="","",IF(AM46&lt;&gt;AM45,1,IF(AN45=misLíneas-2,0,AN45+1)))</f>
        <v>8</v>
      </c>
      <c r="AO46" s="20" t="str" cm="1">
        <f t="array" aca="1" ref="AO46" ca="1">IF(OR(AN46=0,AN46=""),"",INDEX(misCriticidades,AM46)&amp;"-"&amp;IFERROR(MATCH(AN46,miOrdenTarjeta,0),0))</f>
        <v>2-8</v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1</v>
      </c>
      <c r="S47" s="20" t="str">
        <f t="shared" ca="1" si="24"/>
        <v/>
      </c>
      <c r="T47" s="20" t="str" cm="1">
        <f t="array" aca="1" ref="T47" ca="1">IF(S47="","",IF(S47&lt;&gt;S46,1,IF(T46=misLíneas-2,0,T46+1)))</f>
        <v/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5</v>
      </c>
      <c r="AM47" s="20">
        <f t="shared" ca="1" si="7"/>
        <v>11</v>
      </c>
      <c r="AN47" s="20" cm="1">
        <f t="array" aca="1" ref="AN47" ca="1">IF(AM47="","",IF(AM47&lt;&gt;AM46,1,IF(AN46=misLíneas-2,0,AN46+1)))</f>
        <v>0</v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1</v>
      </c>
      <c r="S48" s="20" t="str">
        <f t="shared" ca="1" si="24"/>
        <v/>
      </c>
      <c r="T48" s="20" t="str" cm="1">
        <f t="array" aca="1" ref="T48" ca="1">IF(S48="","",IF(S48&lt;&gt;S47,1,IF(T47=misLíneas-2,0,T47+1)))</f>
        <v/>
      </c>
      <c r="U48" s="20" t="str" cm="1">
        <f t="array" aca="1" ref="U48" ca="1">IF(OR(T48=0,T48=""),"",INDEX(misCriticidades,S48)&amp;"-"&amp;IFERROR(MATCH(T48,miOrdenTarjeta,0),0))</f>
        <v/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6</v>
      </c>
      <c r="AM48" s="20">
        <f t="shared" ca="1" si="7"/>
        <v>10</v>
      </c>
      <c r="AN48" s="20" cm="1">
        <f t="array" aca="1" ref="AN48" ca="1">IF(AM48="","",IF(AM48&lt;&gt;AM47,1,IF(AN47=misLíneas-2,0,AN47+1)))</f>
        <v>1</v>
      </c>
      <c r="AO48" s="20" t="str" cm="1">
        <f t="array" aca="1" ref="AO48" ca="1">IF(OR(AN48=0,AN48=""),"",INDEX(misCriticidades,AM48)&amp;"-"&amp;IFERROR(MATCH(AN48,miOrdenTarjeta,0),0))</f>
        <v>2-1</v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1</v>
      </c>
      <c r="S49" s="20" t="str">
        <f t="shared" ca="1" si="24"/>
        <v/>
      </c>
      <c r="T49" s="20" t="str" cm="1">
        <f t="array" aca="1" ref="T49" ca="1">IF(S49="","",IF(S49&lt;&gt;S48,1,IF(T48=misLíneas-2,0,T48+1)))</f>
        <v/>
      </c>
      <c r="U49" s="20" t="str" cm="1">
        <f t="array" aca="1" ref="U49" ca="1">IF(OR(T49=0,T49=""),"",INDEX(misCriticidades,S49)&amp;"-"&amp;IFERROR(MATCH(T49,miOrdenTarjeta,0),0))</f>
        <v/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6</v>
      </c>
      <c r="AM49" s="20">
        <f t="shared" ca="1" si="7"/>
        <v>10</v>
      </c>
      <c r="AN49" s="20" cm="1">
        <f t="array" aca="1" ref="AN49" ca="1">IF(AM49="","",IF(AM49&lt;&gt;AM48,1,IF(AN48=misLíneas-2,0,AN48+1)))</f>
        <v>2</v>
      </c>
      <c r="AO49" s="20" t="str" cm="1">
        <f t="array" aca="1" ref="AO49" ca="1">IF(OR(AN49=0,AN49=""),"",INDEX(misCriticidades,AM49)&amp;"-"&amp;IFERROR(MATCH(AN49,miOrdenTarjeta,0),0))</f>
        <v>2-2</v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1</v>
      </c>
      <c r="S50" s="20" t="str">
        <f t="shared" ca="1" si="24"/>
        <v/>
      </c>
      <c r="T50" s="20" t="str" cm="1">
        <f t="array" aca="1" ref="T50" ca="1">IF(S50="","",IF(S50&lt;&gt;S49,1,IF(T49=misLíneas-2,0,T49+1)))</f>
        <v/>
      </c>
      <c r="U50" s="20" t="str" cm="1">
        <f t="array" aca="1" ref="U50" ca="1">IF(OR(T50=0,T50=""),"",INDEX(misCriticidades,S50)&amp;"-"&amp;IFERROR(MATCH(T50,miOrdenTarjeta,0),0))</f>
        <v/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6</v>
      </c>
      <c r="AM50" s="20">
        <f t="shared" ca="1" si="7"/>
        <v>10</v>
      </c>
      <c r="AN50" s="20" cm="1">
        <f t="array" aca="1" ref="AN50" ca="1">IF(AM50="","",IF(AM50&lt;&gt;AM49,1,IF(AN49=misLíneas-2,0,AN49+1)))</f>
        <v>3</v>
      </c>
      <c r="AO50" s="20" t="str" cm="1">
        <f t="array" aca="1" ref="AO50" ca="1">IF(OR(AN50=0,AN50=""),"",INDEX(misCriticidades,AM50)&amp;"-"&amp;IFERROR(MATCH(AN50,miOrdenTarjeta,0),0))</f>
        <v>2-3</v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1</v>
      </c>
      <c r="S51" s="20" t="str">
        <f t="shared" ca="1" si="24"/>
        <v/>
      </c>
      <c r="T51" s="20" t="str" cm="1">
        <f t="array" aca="1" ref="T51" ca="1">IF(S51="","",IF(S51&lt;&gt;S50,1,IF(T50=misLíneas-2,0,T50+1)))</f>
        <v/>
      </c>
      <c r="U51" s="20" t="str" cm="1">
        <f t="array" aca="1" ref="U51" ca="1">IF(OR(T51=0,T51=""),"",INDEX(misCriticidades,S51)&amp;"-"&amp;IFERROR(MATCH(T51,miOrdenTarjeta,0),0))</f>
        <v/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6</v>
      </c>
      <c r="AM51" s="20">
        <f t="shared" ca="1" si="7"/>
        <v>10</v>
      </c>
      <c r="AN51" s="20" cm="1">
        <f t="array" aca="1" ref="AN51" ca="1">IF(AM51="","",IF(AM51&lt;&gt;AM50,1,IF(AN50=misLíneas-2,0,AN50+1)))</f>
        <v>4</v>
      </c>
      <c r="AO51" s="20" t="str" cm="1">
        <f t="array" aca="1" ref="AO51" ca="1">IF(OR(AN51=0,AN51=""),"",INDEX(misCriticidades,AM51)&amp;"-"&amp;IFERROR(MATCH(AN51,miOrdenTarjeta,0),0))</f>
        <v>2-4</v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1</v>
      </c>
      <c r="S52" s="20" t="str">
        <f t="shared" ca="1" si="24"/>
        <v/>
      </c>
      <c r="T52" s="20" t="str" cm="1">
        <f t="array" aca="1" ref="T52" ca="1">IF(S52="","",IF(S52&lt;&gt;S51,1,IF(T51=misLíneas-2,0,T51+1)))</f>
        <v/>
      </c>
      <c r="U52" s="20" t="str" cm="1">
        <f t="array" aca="1" ref="U52" ca="1">IF(OR(T52=0,T52=""),"",INDEX(misCriticidades,S52)&amp;"-"&amp;IFERROR(MATCH(T52,miOrdenTarjeta,0),0))</f>
        <v/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6</v>
      </c>
      <c r="AM52" s="20">
        <f t="shared" ca="1" si="7"/>
        <v>10</v>
      </c>
      <c r="AN52" s="20" cm="1">
        <f t="array" aca="1" ref="AN52" ca="1">IF(AM52="","",IF(AM52&lt;&gt;AM51,1,IF(AN51=misLíneas-2,0,AN51+1)))</f>
        <v>5</v>
      </c>
      <c r="AO52" s="20" t="str" cm="1">
        <f t="array" aca="1" ref="AO52" ca="1">IF(OR(AN52=0,AN52=""),"",INDEX(misCriticidades,AM52)&amp;"-"&amp;IFERROR(MATCH(AN52,miOrdenTarjeta,0),0))</f>
        <v>2-5</v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1</v>
      </c>
      <c r="S53" s="20" t="str">
        <f t="shared" ca="1" si="24"/>
        <v/>
      </c>
      <c r="T53" s="20" t="str" cm="1">
        <f t="array" aca="1" ref="T53" ca="1">IF(S53="","",IF(S53&lt;&gt;S52,1,IF(T52=misLíneas-2,0,T52+1)))</f>
        <v/>
      </c>
      <c r="U53" s="20" t="str" cm="1">
        <f t="array" aca="1" ref="U53" ca="1">IF(OR(T53=0,T53=""),"",INDEX(misCriticidades,S53)&amp;"-"&amp;IFERROR(MATCH(T53,miOrdenTarjeta,0),0))</f>
        <v/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6</v>
      </c>
      <c r="AM53" s="20">
        <f t="shared" ca="1" si="7"/>
        <v>10</v>
      </c>
      <c r="AN53" s="20" cm="1">
        <f t="array" aca="1" ref="AN53" ca="1">IF(AM53="","",IF(AM53&lt;&gt;AM52,1,IF(AN52=misLíneas-2,0,AN52+1)))</f>
        <v>6</v>
      </c>
      <c r="AO53" s="20" t="str" cm="1">
        <f t="array" aca="1" ref="AO53" ca="1">IF(OR(AN53=0,AN53=""),"",INDEX(misCriticidades,AM53)&amp;"-"&amp;IFERROR(MATCH(AN53,miOrdenTarjeta,0),0))</f>
        <v>2-6</v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1</v>
      </c>
      <c r="S54" s="20" t="str">
        <f t="shared" ca="1" si="24"/>
        <v/>
      </c>
      <c r="T54" s="20" t="str" cm="1">
        <f t="array" aca="1" ref="T54" ca="1">IF(S54="","",IF(S54&lt;&gt;S53,1,IF(T53=misLíneas-2,0,T53+1)))</f>
        <v/>
      </c>
      <c r="U54" s="20" t="str" cm="1">
        <f t="array" aca="1" ref="U54" ca="1">IF(OR(T54=0,T54=""),"",INDEX(misCriticidades,S54)&amp;"-"&amp;IFERROR(MATCH(T54,miOrdenTarjeta,0),0))</f>
        <v/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6</v>
      </c>
      <c r="AM54" s="20">
        <f t="shared" ca="1" si="7"/>
        <v>10</v>
      </c>
      <c r="AN54" s="20" cm="1">
        <f t="array" aca="1" ref="AN54" ca="1">IF(AM54="","",IF(AM54&lt;&gt;AM53,1,IF(AN53=misLíneas-2,0,AN53+1)))</f>
        <v>7</v>
      </c>
      <c r="AO54" s="20" t="str" cm="1">
        <f t="array" aca="1" ref="AO54" ca="1">IF(OR(AN54=0,AN54=""),"",INDEX(misCriticidades,AM54)&amp;"-"&amp;IFERROR(MATCH(AN54,miOrdenTarjeta,0),0))</f>
        <v>2-7</v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1</v>
      </c>
      <c r="S55" s="20" t="str">
        <f t="shared" ca="1" si="24"/>
        <v/>
      </c>
      <c r="T55" s="20" t="str" cm="1">
        <f t="array" aca="1" ref="T55" ca="1">IF(S55="","",IF(S55&lt;&gt;S54,1,IF(T54=misLíneas-2,0,T54+1)))</f>
        <v/>
      </c>
      <c r="U55" s="20" t="str" cm="1">
        <f t="array" aca="1" ref="U55" ca="1">IF(OR(T55=0,T55=""),"",INDEX(misCriticidades,S55)&amp;"-"&amp;IFERROR(MATCH(T55,miOrdenTarjeta,0),0))</f>
        <v/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6</v>
      </c>
      <c r="AM55" s="20">
        <f t="shared" ca="1" si="7"/>
        <v>10</v>
      </c>
      <c r="AN55" s="20" cm="1">
        <f t="array" aca="1" ref="AN55" ca="1">IF(AM55="","",IF(AM55&lt;&gt;AM54,1,IF(AN54=misLíneas-2,0,AN54+1)))</f>
        <v>8</v>
      </c>
      <c r="AO55" s="20" t="str" cm="1">
        <f t="array" aca="1" ref="AO55" ca="1">IF(OR(AN55=0,AN55=""),"",INDEX(misCriticidades,AM55)&amp;"-"&amp;IFERROR(MATCH(AN55,miOrdenTarjeta,0),0))</f>
        <v>2-8</v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1</v>
      </c>
      <c r="S56" s="20" t="str">
        <f t="shared" ca="1" si="24"/>
        <v/>
      </c>
      <c r="T56" s="20" t="str" cm="1">
        <f t="array" aca="1" ref="T56" ca="1">IF(S56="","",IF(S56&lt;&gt;S55,1,IF(T55=misLíneas-2,0,T55+1)))</f>
        <v/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6</v>
      </c>
      <c r="AM56" s="20">
        <f t="shared" ca="1" si="7"/>
        <v>10</v>
      </c>
      <c r="AN56" s="20" cm="1">
        <f t="array" aca="1" ref="AN56" ca="1">IF(AM56="","",IF(AM56&lt;&gt;AM55,1,IF(AN55=misLíneas-2,0,AN55+1)))</f>
        <v>0</v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1</v>
      </c>
      <c r="S57" s="20" t="str">
        <f t="shared" ca="1" si="24"/>
        <v/>
      </c>
      <c r="T57" s="20" t="str" cm="1">
        <f t="array" aca="1" ref="T57" ca="1">IF(S57="","",IF(S57&lt;&gt;S56,1,IF(T56=misLíneas-2,0,T56+1)))</f>
        <v/>
      </c>
      <c r="U57" s="20" t="str" cm="1">
        <f t="array" aca="1" ref="U57" ca="1">IF(OR(T57=0,T57=""),"",INDEX(misCriticidades,S57)&amp;"-"&amp;IFERROR(MATCH(T57,miOrdenTarjeta,0),0))</f>
        <v/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7</v>
      </c>
      <c r="AM57" s="20">
        <f t="shared" ca="1" si="7"/>
        <v>9</v>
      </c>
      <c r="AN57" s="20" cm="1">
        <f t="array" aca="1" ref="AN57" ca="1">IF(AM57="","",IF(AM57&lt;&gt;AM56,1,IF(AN56=misLíneas-2,0,AN56+1)))</f>
        <v>1</v>
      </c>
      <c r="AO57" s="20" t="str" cm="1">
        <f t="array" aca="1" ref="AO57" ca="1">IF(OR(AN57=0,AN57=""),"",INDEX(misCriticidades,AM57)&amp;"-"&amp;IFERROR(MATCH(AN57,miOrdenTarjeta,0),0))</f>
        <v>2-1</v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1</v>
      </c>
      <c r="S58" s="20" t="str">
        <f t="shared" ca="1" si="24"/>
        <v/>
      </c>
      <c r="T58" s="20" t="str" cm="1">
        <f t="array" aca="1" ref="T58" ca="1">IF(S58="","",IF(S58&lt;&gt;S57,1,IF(T57=misLíneas-2,0,T57+1)))</f>
        <v/>
      </c>
      <c r="U58" s="20" t="str" cm="1">
        <f t="array" aca="1" ref="U58" ca="1">IF(OR(T58=0,T58=""),"",INDEX(misCriticidades,S58)&amp;"-"&amp;IFERROR(MATCH(T58,miOrdenTarjeta,0),0))</f>
        <v/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7</v>
      </c>
      <c r="AM58" s="20">
        <f t="shared" ca="1" si="7"/>
        <v>9</v>
      </c>
      <c r="AN58" s="20" cm="1">
        <f t="array" aca="1" ref="AN58" ca="1">IF(AM58="","",IF(AM58&lt;&gt;AM57,1,IF(AN57=misLíneas-2,0,AN57+1)))</f>
        <v>2</v>
      </c>
      <c r="AO58" s="20" t="str" cm="1">
        <f t="array" aca="1" ref="AO58" ca="1">IF(OR(AN58=0,AN58=""),"",INDEX(misCriticidades,AM58)&amp;"-"&amp;IFERROR(MATCH(AN58,miOrdenTarjeta,0),0))</f>
        <v>2-2</v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1</v>
      </c>
      <c r="S59" s="20" t="str">
        <f t="shared" ca="1" si="24"/>
        <v/>
      </c>
      <c r="T59" s="20" t="str" cm="1">
        <f t="array" aca="1" ref="T59" ca="1">IF(S59="","",IF(S59&lt;&gt;S58,1,IF(T58=misLíneas-2,0,T58+1)))</f>
        <v/>
      </c>
      <c r="U59" s="20" t="str" cm="1">
        <f t="array" aca="1" ref="U59" ca="1">IF(OR(T59=0,T59=""),"",INDEX(misCriticidades,S59)&amp;"-"&amp;IFERROR(MATCH(T59,miOrdenTarjeta,0),0))</f>
        <v/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7</v>
      </c>
      <c r="AM59" s="20">
        <f t="shared" ca="1" si="7"/>
        <v>9</v>
      </c>
      <c r="AN59" s="20" cm="1">
        <f t="array" aca="1" ref="AN59" ca="1">IF(AM59="","",IF(AM59&lt;&gt;AM58,1,IF(AN58=misLíneas-2,0,AN58+1)))</f>
        <v>3</v>
      </c>
      <c r="AO59" s="20" t="str" cm="1">
        <f t="array" aca="1" ref="AO59" ca="1">IF(OR(AN59=0,AN59=""),"",INDEX(misCriticidades,AM59)&amp;"-"&amp;IFERROR(MATCH(AN59,miOrdenTarjeta,0),0))</f>
        <v>2-3</v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1</v>
      </c>
      <c r="S60" s="20" t="str">
        <f t="shared" ca="1" si="24"/>
        <v/>
      </c>
      <c r="T60" s="20" t="str" cm="1">
        <f t="array" aca="1" ref="T60" ca="1">IF(S60="","",IF(S60&lt;&gt;S59,1,IF(T59=misLíneas-2,0,T59+1)))</f>
        <v/>
      </c>
      <c r="U60" s="20" t="str" cm="1">
        <f t="array" aca="1" ref="U60" ca="1">IF(OR(T60=0,T60=""),"",INDEX(misCriticidades,S60)&amp;"-"&amp;IFERROR(MATCH(T60,miOrdenTarjeta,0),0))</f>
        <v/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7</v>
      </c>
      <c r="AM60" s="20">
        <f t="shared" ca="1" si="7"/>
        <v>9</v>
      </c>
      <c r="AN60" s="20" cm="1">
        <f t="array" aca="1" ref="AN60" ca="1">IF(AM60="","",IF(AM60&lt;&gt;AM59,1,IF(AN59=misLíneas-2,0,AN59+1)))</f>
        <v>4</v>
      </c>
      <c r="AO60" s="20" t="str" cm="1">
        <f t="array" aca="1" ref="AO60" ca="1">IF(OR(AN60=0,AN60=""),"",INDEX(misCriticidades,AM60)&amp;"-"&amp;IFERROR(MATCH(AN60,miOrdenTarjeta,0),0))</f>
        <v>2-4</v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1</v>
      </c>
      <c r="S61" s="20" t="str">
        <f t="shared" ca="1" si="24"/>
        <v/>
      </c>
      <c r="T61" s="20" t="str" cm="1">
        <f t="array" aca="1" ref="T61" ca="1">IF(S61="","",IF(S61&lt;&gt;S60,1,IF(T60=misLíneas-2,0,T60+1)))</f>
        <v/>
      </c>
      <c r="U61" s="20" t="str" cm="1">
        <f t="array" aca="1" ref="U61" ca="1">IF(OR(T61=0,T61=""),"",INDEX(misCriticidades,S61)&amp;"-"&amp;IFERROR(MATCH(T61,miOrdenTarjeta,0),0))</f>
        <v/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7</v>
      </c>
      <c r="AM61" s="20">
        <f t="shared" ca="1" si="7"/>
        <v>9</v>
      </c>
      <c r="AN61" s="20" cm="1">
        <f t="array" aca="1" ref="AN61" ca="1">IF(AM61="","",IF(AM61&lt;&gt;AM60,1,IF(AN60=misLíneas-2,0,AN60+1)))</f>
        <v>5</v>
      </c>
      <c r="AO61" s="20" t="str" cm="1">
        <f t="array" aca="1" ref="AO61" ca="1">IF(OR(AN61=0,AN61=""),"",INDEX(misCriticidades,AM61)&amp;"-"&amp;IFERROR(MATCH(AN61,miOrdenTarjeta,0),0))</f>
        <v>2-5</v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1</v>
      </c>
      <c r="S62" s="20" t="str">
        <f t="shared" ca="1" si="24"/>
        <v/>
      </c>
      <c r="T62" s="20" t="str" cm="1">
        <f t="array" aca="1" ref="T62" ca="1">IF(S62="","",IF(S62&lt;&gt;S61,1,IF(T61=misLíneas-2,0,T61+1)))</f>
        <v/>
      </c>
      <c r="U62" s="20" t="str" cm="1">
        <f t="array" aca="1" ref="U62" ca="1">IF(OR(T62=0,T62=""),"",INDEX(misCriticidades,S62)&amp;"-"&amp;IFERROR(MATCH(T62,miOrdenTarjeta,0),0))</f>
        <v/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7</v>
      </c>
      <c r="AM62" s="20">
        <f t="shared" ca="1" si="7"/>
        <v>9</v>
      </c>
      <c r="AN62" s="20" cm="1">
        <f t="array" aca="1" ref="AN62" ca="1">IF(AM62="","",IF(AM62&lt;&gt;AM61,1,IF(AN61=misLíneas-2,0,AN61+1)))</f>
        <v>6</v>
      </c>
      <c r="AO62" s="20" t="str" cm="1">
        <f t="array" aca="1" ref="AO62" ca="1">IF(OR(AN62=0,AN62=""),"",INDEX(misCriticidades,AM62)&amp;"-"&amp;IFERROR(MATCH(AN62,miOrdenTarjeta,0),0))</f>
        <v>2-6</v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1</v>
      </c>
      <c r="S63" s="20" t="str">
        <f t="shared" ca="1" si="24"/>
        <v/>
      </c>
      <c r="T63" s="20" t="str" cm="1">
        <f t="array" aca="1" ref="T63" ca="1">IF(S63="","",IF(S63&lt;&gt;S62,1,IF(T62=misLíneas-2,0,T62+1)))</f>
        <v/>
      </c>
      <c r="U63" s="20" t="str" cm="1">
        <f t="array" aca="1" ref="U63" ca="1">IF(OR(T63=0,T63=""),"",INDEX(misCriticidades,S63)&amp;"-"&amp;IFERROR(MATCH(T63,miOrdenTarjeta,0),0))</f>
        <v/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7</v>
      </c>
      <c r="AM63" s="20">
        <f t="shared" ca="1" si="7"/>
        <v>9</v>
      </c>
      <c r="AN63" s="20" cm="1">
        <f t="array" aca="1" ref="AN63" ca="1">IF(AM63="","",IF(AM63&lt;&gt;AM62,1,IF(AN62=misLíneas-2,0,AN62+1)))</f>
        <v>7</v>
      </c>
      <c r="AO63" s="20" t="str" cm="1">
        <f t="array" aca="1" ref="AO63" ca="1">IF(OR(AN63=0,AN63=""),"",INDEX(misCriticidades,AM63)&amp;"-"&amp;IFERROR(MATCH(AN63,miOrdenTarjeta,0),0))</f>
        <v>2-7</v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1</v>
      </c>
      <c r="S64" s="20" t="str">
        <f t="shared" ca="1" si="24"/>
        <v/>
      </c>
      <c r="T64" s="20" t="str" cm="1">
        <f t="array" aca="1" ref="T64" ca="1">IF(S64="","",IF(S64&lt;&gt;S63,1,IF(T63=misLíneas-2,0,T63+1)))</f>
        <v/>
      </c>
      <c r="U64" s="20" t="str" cm="1">
        <f t="array" aca="1" ref="U64" ca="1">IF(OR(T64=0,T64=""),"",INDEX(misCriticidades,S64)&amp;"-"&amp;IFERROR(MATCH(T64,miOrdenTarjeta,0),0))</f>
        <v/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7</v>
      </c>
      <c r="AM64" s="20">
        <f t="shared" ca="1" si="7"/>
        <v>9</v>
      </c>
      <c r="AN64" s="20" cm="1">
        <f t="array" aca="1" ref="AN64" ca="1">IF(AM64="","",IF(AM64&lt;&gt;AM63,1,IF(AN63=misLíneas-2,0,AN63+1)))</f>
        <v>8</v>
      </c>
      <c r="AO64" s="20" t="str" cm="1">
        <f t="array" aca="1" ref="AO64" ca="1">IF(OR(AN64=0,AN64=""),"",INDEX(misCriticidades,AM64)&amp;"-"&amp;IFERROR(MATCH(AN64,miOrdenTarjeta,0),0))</f>
        <v>2-8</v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1</v>
      </c>
      <c r="S65" s="20" t="str">
        <f t="shared" ca="1" si="24"/>
        <v/>
      </c>
      <c r="T65" s="20" t="str" cm="1">
        <f t="array" aca="1" ref="T65" ca="1">IF(S65="","",IF(S65&lt;&gt;S64,1,IF(T64=misLíneas-2,0,T64+1)))</f>
        <v/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7</v>
      </c>
      <c r="AM65" s="20">
        <f t="shared" ca="1" si="7"/>
        <v>9</v>
      </c>
      <c r="AN65" s="20" cm="1">
        <f t="array" aca="1" ref="AN65" ca="1">IF(AM65="","",IF(AM65&lt;&gt;AM64,1,IF(AN64=misLíneas-2,0,AN64+1)))</f>
        <v>0</v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1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8</v>
      </c>
      <c r="AM66" s="20">
        <f t="shared" ca="1" si="7"/>
        <v>8</v>
      </c>
      <c r="AN66" s="20" cm="1">
        <f t="array" aca="1" ref="AN66" ca="1">IF(AM66="","",IF(AM66&lt;&gt;AM65,1,IF(AN65=misLíneas-2,0,AN65+1)))</f>
        <v>1</v>
      </c>
      <c r="AO66" s="20" t="str" cm="1">
        <f t="array" aca="1" ref="AO66" ca="1">IF(OR(AN66=0,AN66=""),"",INDEX(misCriticidades,AM66)&amp;"-"&amp;IFERROR(MATCH(AN66,miOrdenTarjeta,0),0))</f>
        <v>2-1</v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1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8</v>
      </c>
      <c r="AM67" s="20">
        <f t="shared" ref="AM67:AM130" ca="1" si="33">IF(AL67&gt;AL66,IFERROR(IF(AO$1="v",SMALL(AK$2:AK$101,AL67),LARGE(AK$2:AK$101,AL67)),""),AM66)</f>
        <v>8</v>
      </c>
      <c r="AN67" s="20" cm="1">
        <f t="array" aca="1" ref="AN67" ca="1">IF(AM67="","",IF(AM67&lt;&gt;AM66,1,IF(AN66=misLíneas-2,0,AN66+1)))</f>
        <v>2</v>
      </c>
      <c r="AO67" s="20" t="str" cm="1">
        <f t="array" aca="1" ref="AO67" ca="1">IF(OR(AN67=0,AN67=""),"",INDEX(misCriticidades,AM67)&amp;"-"&amp;IFERROR(MATCH(AN67,miOrdenTarjeta,0),0))</f>
        <v>2-2</v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1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8</v>
      </c>
      <c r="AM68" s="20">
        <f t="shared" ca="1" si="33"/>
        <v>8</v>
      </c>
      <c r="AN68" s="20" cm="1">
        <f t="array" aca="1" ref="AN68" ca="1">IF(AM68="","",IF(AM68&lt;&gt;AM67,1,IF(AN67=misLíneas-2,0,AN67+1)))</f>
        <v>3</v>
      </c>
      <c r="AO68" s="20" t="str" cm="1">
        <f t="array" aca="1" ref="AO68" ca="1">IF(OR(AN68=0,AN68=""),"",INDEX(misCriticidades,AM68)&amp;"-"&amp;IFERROR(MATCH(AN68,miOrdenTarjeta,0),0))</f>
        <v>2-3</v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1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8</v>
      </c>
      <c r="AM69" s="20">
        <f t="shared" ca="1" si="33"/>
        <v>8</v>
      </c>
      <c r="AN69" s="20" cm="1">
        <f t="array" aca="1" ref="AN69" ca="1">IF(AM69="","",IF(AM69&lt;&gt;AM68,1,IF(AN68=misLíneas-2,0,AN68+1)))</f>
        <v>4</v>
      </c>
      <c r="AO69" s="20" t="str" cm="1">
        <f t="array" aca="1" ref="AO69" ca="1">IF(OR(AN69=0,AN69=""),"",INDEX(misCriticidades,AM69)&amp;"-"&amp;IFERROR(MATCH(AN69,miOrdenTarjeta,0),0))</f>
        <v>2-4</v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1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8</v>
      </c>
      <c r="AM70" s="20">
        <f t="shared" ca="1" si="33"/>
        <v>8</v>
      </c>
      <c r="AN70" s="20" cm="1">
        <f t="array" aca="1" ref="AN70" ca="1">IF(AM70="","",IF(AM70&lt;&gt;AM69,1,IF(AN69=misLíneas-2,0,AN69+1)))</f>
        <v>5</v>
      </c>
      <c r="AO70" s="20" t="str" cm="1">
        <f t="array" aca="1" ref="AO70" ca="1">IF(OR(AN70=0,AN70=""),"",INDEX(misCriticidades,AM70)&amp;"-"&amp;IFERROR(MATCH(AN70,miOrdenTarjeta,0),0))</f>
        <v>2-5</v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1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8</v>
      </c>
      <c r="AM71" s="20">
        <f t="shared" ca="1" si="33"/>
        <v>8</v>
      </c>
      <c r="AN71" s="20" cm="1">
        <f t="array" aca="1" ref="AN71" ca="1">IF(AM71="","",IF(AM71&lt;&gt;AM70,1,IF(AN70=misLíneas-2,0,AN70+1)))</f>
        <v>6</v>
      </c>
      <c r="AO71" s="20" t="str" cm="1">
        <f t="array" aca="1" ref="AO71" ca="1">IF(OR(AN71=0,AN71=""),"",INDEX(misCriticidades,AM71)&amp;"-"&amp;IFERROR(MATCH(AN71,miOrdenTarjeta,0),0))</f>
        <v>2-6</v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1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8</v>
      </c>
      <c r="AM72" s="20">
        <f t="shared" ca="1" si="33"/>
        <v>8</v>
      </c>
      <c r="AN72" s="20" cm="1">
        <f t="array" aca="1" ref="AN72" ca="1">IF(AM72="","",IF(AM72&lt;&gt;AM71,1,IF(AN71=misLíneas-2,0,AN71+1)))</f>
        <v>7</v>
      </c>
      <c r="AO72" s="20" t="str" cm="1">
        <f t="array" aca="1" ref="AO72" ca="1">IF(OR(AN72=0,AN72=""),"",INDEX(misCriticidades,AM72)&amp;"-"&amp;IFERROR(MATCH(AN72,miOrdenTarjeta,0),0))</f>
        <v>2-7</v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1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8</v>
      </c>
      <c r="AM73" s="20">
        <f t="shared" ca="1" si="33"/>
        <v>8</v>
      </c>
      <c r="AN73" s="20" cm="1">
        <f t="array" aca="1" ref="AN73" ca="1">IF(AM73="","",IF(AM73&lt;&gt;AM72,1,IF(AN72=misLíneas-2,0,AN72+1)))</f>
        <v>8</v>
      </c>
      <c r="AO73" s="20" t="str" cm="1">
        <f t="array" aca="1" ref="AO73" ca="1">IF(OR(AN73=0,AN73=""),"",INDEX(misCriticidades,AM73)&amp;"-"&amp;IFERROR(MATCH(AN73,miOrdenTarjeta,0),0))</f>
        <v>2-8</v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1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8</v>
      </c>
      <c r="AM74" s="20">
        <f t="shared" ca="1" si="33"/>
        <v>8</v>
      </c>
      <c r="AN74" s="20" cm="1">
        <f t="array" aca="1" ref="AN74" ca="1">IF(AM74="","",IF(AM74&lt;&gt;AM73,1,IF(AN73=misLíneas-2,0,AN73+1)))</f>
        <v>0</v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1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9</v>
      </c>
      <c r="AM75" s="20">
        <f t="shared" ca="1" si="33"/>
        <v>7</v>
      </c>
      <c r="AN75" s="20" cm="1">
        <f t="array" aca="1" ref="AN75" ca="1">IF(AM75="","",IF(AM75&lt;&gt;AM74,1,IF(AN74=misLíneas-2,0,AN74+1)))</f>
        <v>1</v>
      </c>
      <c r="AO75" s="20" t="str" cm="1">
        <f t="array" aca="1" ref="AO75" ca="1">IF(OR(AN75=0,AN75=""),"",INDEX(misCriticidades,AM75)&amp;"-"&amp;IFERROR(MATCH(AN75,miOrdenTarjeta,0),0))</f>
        <v>2-1</v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1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9</v>
      </c>
      <c r="AM76" s="20">
        <f t="shared" ca="1" si="33"/>
        <v>7</v>
      </c>
      <c r="AN76" s="20" cm="1">
        <f t="array" aca="1" ref="AN76" ca="1">IF(AM76="","",IF(AM76&lt;&gt;AM75,1,IF(AN75=misLíneas-2,0,AN75+1)))</f>
        <v>2</v>
      </c>
      <c r="AO76" s="20" t="str" cm="1">
        <f t="array" aca="1" ref="AO76" ca="1">IF(OR(AN76=0,AN76=""),"",INDEX(misCriticidades,AM76)&amp;"-"&amp;IFERROR(MATCH(AN76,miOrdenTarjeta,0),0))</f>
        <v>2-2</v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1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9</v>
      </c>
      <c r="AM77" s="20">
        <f t="shared" ca="1" si="33"/>
        <v>7</v>
      </c>
      <c r="AN77" s="20" cm="1">
        <f t="array" aca="1" ref="AN77" ca="1">IF(AM77="","",IF(AM77&lt;&gt;AM76,1,IF(AN76=misLíneas-2,0,AN76+1)))</f>
        <v>3</v>
      </c>
      <c r="AO77" s="20" t="str" cm="1">
        <f t="array" aca="1" ref="AO77" ca="1">IF(OR(AN77=0,AN77=""),"",INDEX(misCriticidades,AM77)&amp;"-"&amp;IFERROR(MATCH(AN77,miOrdenTarjeta,0),0))</f>
        <v>2-3</v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1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9</v>
      </c>
      <c r="AM78" s="20">
        <f t="shared" ca="1" si="33"/>
        <v>7</v>
      </c>
      <c r="AN78" s="20" cm="1">
        <f t="array" aca="1" ref="AN78" ca="1">IF(AM78="","",IF(AM78&lt;&gt;AM77,1,IF(AN77=misLíneas-2,0,AN77+1)))</f>
        <v>4</v>
      </c>
      <c r="AO78" s="20" t="str" cm="1">
        <f t="array" aca="1" ref="AO78" ca="1">IF(OR(AN78=0,AN78=""),"",INDEX(misCriticidades,AM78)&amp;"-"&amp;IFERROR(MATCH(AN78,miOrdenTarjeta,0),0))</f>
        <v>2-4</v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1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9</v>
      </c>
      <c r="AM79" s="20">
        <f t="shared" ca="1" si="33"/>
        <v>7</v>
      </c>
      <c r="AN79" s="20" cm="1">
        <f t="array" aca="1" ref="AN79" ca="1">IF(AM79="","",IF(AM79&lt;&gt;AM78,1,IF(AN78=misLíneas-2,0,AN78+1)))</f>
        <v>5</v>
      </c>
      <c r="AO79" s="20" t="str" cm="1">
        <f t="array" aca="1" ref="AO79" ca="1">IF(OR(AN79=0,AN79=""),"",INDEX(misCriticidades,AM79)&amp;"-"&amp;IFERROR(MATCH(AN79,miOrdenTarjeta,0),0))</f>
        <v>2-5</v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1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9</v>
      </c>
      <c r="AM80" s="20">
        <f t="shared" ca="1" si="33"/>
        <v>7</v>
      </c>
      <c r="AN80" s="20" cm="1">
        <f t="array" aca="1" ref="AN80" ca="1">IF(AM80="","",IF(AM80&lt;&gt;AM79,1,IF(AN79=misLíneas-2,0,AN79+1)))</f>
        <v>6</v>
      </c>
      <c r="AO80" s="20" t="str" cm="1">
        <f t="array" aca="1" ref="AO80" ca="1">IF(OR(AN80=0,AN80=""),"",INDEX(misCriticidades,AM80)&amp;"-"&amp;IFERROR(MATCH(AN80,miOrdenTarjeta,0),0))</f>
        <v>2-6</v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1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9</v>
      </c>
      <c r="AM81" s="20">
        <f t="shared" ca="1" si="33"/>
        <v>7</v>
      </c>
      <c r="AN81" s="20" cm="1">
        <f t="array" aca="1" ref="AN81" ca="1">IF(AM81="","",IF(AM81&lt;&gt;AM80,1,IF(AN80=misLíneas-2,0,AN80+1)))</f>
        <v>7</v>
      </c>
      <c r="AO81" s="20" t="str" cm="1">
        <f t="array" aca="1" ref="AO81" ca="1">IF(OR(AN81=0,AN81=""),"",INDEX(misCriticidades,AM81)&amp;"-"&amp;IFERROR(MATCH(AN81,miOrdenTarjeta,0),0))</f>
        <v>2-7</v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1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9</v>
      </c>
      <c r="AM82" s="20">
        <f t="shared" ca="1" si="33"/>
        <v>7</v>
      </c>
      <c r="AN82" s="20" cm="1">
        <f t="array" aca="1" ref="AN82" ca="1">IF(AM82="","",IF(AM82&lt;&gt;AM81,1,IF(AN81=misLíneas-2,0,AN81+1)))</f>
        <v>8</v>
      </c>
      <c r="AO82" s="20" t="str" cm="1">
        <f t="array" aca="1" ref="AO82" ca="1">IF(OR(AN82=0,AN82=""),"",INDEX(misCriticidades,AM82)&amp;"-"&amp;IFERROR(MATCH(AN82,miOrdenTarjeta,0),0))</f>
        <v>2-8</v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1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9</v>
      </c>
      <c r="AM83" s="20">
        <f t="shared" ca="1" si="33"/>
        <v>7</v>
      </c>
      <c r="AN83" s="20" cm="1">
        <f t="array" aca="1" ref="AN83" ca="1">IF(AM83="","",IF(AM83&lt;&gt;AM82,1,IF(AN82=misLíneas-2,0,AN82+1)))</f>
        <v>0</v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10</v>
      </c>
      <c r="AM84" s="20">
        <f t="shared" ca="1" si="33"/>
        <v>6</v>
      </c>
      <c r="AN84" s="20" cm="1">
        <f t="array" aca="1" ref="AN84" ca="1">IF(AM84="","",IF(AM84&lt;&gt;AM83,1,IF(AN83=misLíneas-2,0,AN83+1)))</f>
        <v>1</v>
      </c>
      <c r="AO84" s="20" t="str" cm="1">
        <f t="array" aca="1" ref="AO84" ca="1">IF(OR(AN84=0,AN84=""),"",INDEX(misCriticidades,AM84)&amp;"-"&amp;IFERROR(MATCH(AN84,miOrdenTarjeta,0),0))</f>
        <v>2-1</v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10</v>
      </c>
      <c r="AM85" s="20">
        <f t="shared" ca="1" si="33"/>
        <v>6</v>
      </c>
      <c r="AN85" s="20" cm="1">
        <f t="array" aca="1" ref="AN85" ca="1">IF(AM85="","",IF(AM85&lt;&gt;AM84,1,IF(AN84=misLíneas-2,0,AN84+1)))</f>
        <v>2</v>
      </c>
      <c r="AO85" s="20" t="str" cm="1">
        <f t="array" aca="1" ref="AO85" ca="1">IF(OR(AN85=0,AN85=""),"",INDEX(misCriticidades,AM85)&amp;"-"&amp;IFERROR(MATCH(AN85,miOrdenTarjeta,0),0))</f>
        <v>2-2</v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10</v>
      </c>
      <c r="AM86" s="20">
        <f t="shared" ca="1" si="33"/>
        <v>6</v>
      </c>
      <c r="AN86" s="20" cm="1">
        <f t="array" aca="1" ref="AN86" ca="1">IF(AM86="","",IF(AM86&lt;&gt;AM85,1,IF(AN85=misLíneas-2,0,AN85+1)))</f>
        <v>3</v>
      </c>
      <c r="AO86" s="20" t="str" cm="1">
        <f t="array" aca="1" ref="AO86" ca="1">IF(OR(AN86=0,AN86=""),"",INDEX(misCriticidades,AM86)&amp;"-"&amp;IFERROR(MATCH(AN86,miOrdenTarjeta,0),0))</f>
        <v>2-3</v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10</v>
      </c>
      <c r="AM87" s="20">
        <f t="shared" ca="1" si="33"/>
        <v>6</v>
      </c>
      <c r="AN87" s="20" cm="1">
        <f t="array" aca="1" ref="AN87" ca="1">IF(AM87="","",IF(AM87&lt;&gt;AM86,1,IF(AN86=misLíneas-2,0,AN86+1)))</f>
        <v>4</v>
      </c>
      <c r="AO87" s="20" t="str" cm="1">
        <f t="array" aca="1" ref="AO87" ca="1">IF(OR(AN87=0,AN87=""),"",INDEX(misCriticidades,AM87)&amp;"-"&amp;IFERROR(MATCH(AN87,miOrdenTarjeta,0),0))</f>
        <v>2-4</v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10</v>
      </c>
      <c r="AM88" s="20">
        <f t="shared" ca="1" si="33"/>
        <v>6</v>
      </c>
      <c r="AN88" s="20" cm="1">
        <f t="array" aca="1" ref="AN88" ca="1">IF(AM88="","",IF(AM88&lt;&gt;AM87,1,IF(AN87=misLíneas-2,0,AN87+1)))</f>
        <v>5</v>
      </c>
      <c r="AO88" s="20" t="str" cm="1">
        <f t="array" aca="1" ref="AO88" ca="1">IF(OR(AN88=0,AN88=""),"",INDEX(misCriticidades,AM88)&amp;"-"&amp;IFERROR(MATCH(AN88,miOrdenTarjeta,0),0))</f>
        <v>2-5</v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10</v>
      </c>
      <c r="AM89" s="20">
        <f t="shared" ca="1" si="33"/>
        <v>6</v>
      </c>
      <c r="AN89" s="20" cm="1">
        <f t="array" aca="1" ref="AN89" ca="1">IF(AM89="","",IF(AM89&lt;&gt;AM88,1,IF(AN88=misLíneas-2,0,AN88+1)))</f>
        <v>6</v>
      </c>
      <c r="AO89" s="20" t="str" cm="1">
        <f t="array" aca="1" ref="AO89" ca="1">IF(OR(AN89=0,AN89=""),"",INDEX(misCriticidades,AM89)&amp;"-"&amp;IFERROR(MATCH(AN89,miOrdenTarjeta,0),0))</f>
        <v>2-6</v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10</v>
      </c>
      <c r="AM90" s="20">
        <f t="shared" ca="1" si="33"/>
        <v>6</v>
      </c>
      <c r="AN90" s="20" cm="1">
        <f t="array" aca="1" ref="AN90" ca="1">IF(AM90="","",IF(AM90&lt;&gt;AM89,1,IF(AN89=misLíneas-2,0,AN89+1)))</f>
        <v>7</v>
      </c>
      <c r="AO90" s="20" t="str" cm="1">
        <f t="array" aca="1" ref="AO90" ca="1">IF(OR(AN90=0,AN90=""),"",INDEX(misCriticidades,AM90)&amp;"-"&amp;IFERROR(MATCH(AN90,miOrdenTarjeta,0),0))</f>
        <v>2-7</v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10</v>
      </c>
      <c r="AM91" s="20">
        <f t="shared" ca="1" si="33"/>
        <v>6</v>
      </c>
      <c r="AN91" s="20" cm="1">
        <f t="array" aca="1" ref="AN91" ca="1">IF(AM91="","",IF(AM91&lt;&gt;AM90,1,IF(AN90=misLíneas-2,0,AN90+1)))</f>
        <v>8</v>
      </c>
      <c r="AO91" s="20" t="str" cm="1">
        <f t="array" aca="1" ref="AO91" ca="1">IF(OR(AN91=0,AN91=""),"",INDEX(misCriticidades,AM91)&amp;"-"&amp;IFERROR(MATCH(AN91,miOrdenTarjeta,0),0))</f>
        <v>2-8</v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10</v>
      </c>
      <c r="AM92" s="20">
        <f t="shared" ca="1" si="33"/>
        <v>6</v>
      </c>
      <c r="AN92" s="20" cm="1">
        <f t="array" aca="1" ref="AN92" ca="1">IF(AM92="","",IF(AM92&lt;&gt;AM91,1,IF(AN91=misLíneas-2,0,AN91+1)))</f>
        <v>0</v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11</v>
      </c>
      <c r="AM93" s="20">
        <f t="shared" ca="1" si="33"/>
        <v>5</v>
      </c>
      <c r="AN93" s="20" cm="1">
        <f t="array" aca="1" ref="AN93" ca="1">IF(AM93="","",IF(AM93&lt;&gt;AM92,1,IF(AN92=misLíneas-2,0,AN92+1)))</f>
        <v>1</v>
      </c>
      <c r="AO93" s="20" t="str" cm="1">
        <f t="array" aca="1" ref="AO93" ca="1">IF(OR(AN93=0,AN93=""),"",INDEX(misCriticidades,AM93)&amp;"-"&amp;IFERROR(MATCH(AN93,miOrdenTarjeta,0),0))</f>
        <v>2-1</v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11</v>
      </c>
      <c r="AM94" s="20">
        <f t="shared" ca="1" si="33"/>
        <v>5</v>
      </c>
      <c r="AN94" s="20" cm="1">
        <f t="array" aca="1" ref="AN94" ca="1">IF(AM94="","",IF(AM94&lt;&gt;AM93,1,IF(AN93=misLíneas-2,0,AN93+1)))</f>
        <v>2</v>
      </c>
      <c r="AO94" s="20" t="str" cm="1">
        <f t="array" aca="1" ref="AO94" ca="1">IF(OR(AN94=0,AN94=""),"",INDEX(misCriticidades,AM94)&amp;"-"&amp;IFERROR(MATCH(AN94,miOrdenTarjeta,0),0))</f>
        <v>2-2</v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11</v>
      </c>
      <c r="AM95" s="20">
        <f t="shared" ca="1" si="33"/>
        <v>5</v>
      </c>
      <c r="AN95" s="20" cm="1">
        <f t="array" aca="1" ref="AN95" ca="1">IF(AM95="","",IF(AM95&lt;&gt;AM94,1,IF(AN94=misLíneas-2,0,AN94+1)))</f>
        <v>3</v>
      </c>
      <c r="AO95" s="20" t="str" cm="1">
        <f t="array" aca="1" ref="AO95" ca="1">IF(OR(AN95=0,AN95=""),"",INDEX(misCriticidades,AM95)&amp;"-"&amp;IFERROR(MATCH(AN95,miOrdenTarjeta,0),0))</f>
        <v>2-3</v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11</v>
      </c>
      <c r="AM96" s="20">
        <f t="shared" ca="1" si="33"/>
        <v>5</v>
      </c>
      <c r="AN96" s="20" cm="1">
        <f t="array" aca="1" ref="AN96" ca="1">IF(AM96="","",IF(AM96&lt;&gt;AM95,1,IF(AN95=misLíneas-2,0,AN95+1)))</f>
        <v>4</v>
      </c>
      <c r="AO96" s="20" t="str" cm="1">
        <f t="array" aca="1" ref="AO96" ca="1">IF(OR(AN96=0,AN96=""),"",INDEX(misCriticidades,AM96)&amp;"-"&amp;IFERROR(MATCH(AN96,miOrdenTarjeta,0),0))</f>
        <v>2-4</v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11</v>
      </c>
      <c r="AM97" s="20">
        <f t="shared" ca="1" si="33"/>
        <v>5</v>
      </c>
      <c r="AN97" s="20" cm="1">
        <f t="array" aca="1" ref="AN97" ca="1">IF(AM97="","",IF(AM97&lt;&gt;AM96,1,IF(AN96=misLíneas-2,0,AN96+1)))</f>
        <v>5</v>
      </c>
      <c r="AO97" s="20" t="str" cm="1">
        <f t="array" aca="1" ref="AO97" ca="1">IF(OR(AN97=0,AN97=""),"",INDEX(misCriticidades,AM97)&amp;"-"&amp;IFERROR(MATCH(AN97,miOrdenTarjeta,0),0))</f>
        <v>2-5</v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11</v>
      </c>
      <c r="AM98" s="20">
        <f t="shared" ca="1" si="33"/>
        <v>5</v>
      </c>
      <c r="AN98" s="20" cm="1">
        <f t="array" aca="1" ref="AN98" ca="1">IF(AM98="","",IF(AM98&lt;&gt;AM97,1,IF(AN97=misLíneas-2,0,AN97+1)))</f>
        <v>6</v>
      </c>
      <c r="AO98" s="20" t="str" cm="1">
        <f t="array" aca="1" ref="AO98" ca="1">IF(OR(AN98=0,AN98=""),"",INDEX(misCriticidades,AM98)&amp;"-"&amp;IFERROR(MATCH(AN98,miOrdenTarjeta,0),0))</f>
        <v>2-6</v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11</v>
      </c>
      <c r="AM99" s="20">
        <f t="shared" ca="1" si="33"/>
        <v>5</v>
      </c>
      <c r="AN99" s="20" cm="1">
        <f t="array" aca="1" ref="AN99" ca="1">IF(AM99="","",IF(AM99&lt;&gt;AM98,1,IF(AN98=misLíneas-2,0,AN98+1)))</f>
        <v>7</v>
      </c>
      <c r="AO99" s="20" t="str" cm="1">
        <f t="array" aca="1" ref="AO99" ca="1">IF(OR(AN99=0,AN99=""),"",INDEX(misCriticidades,AM99)&amp;"-"&amp;IFERROR(MATCH(AN99,miOrdenTarjeta,0),0))</f>
        <v>2-7</v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11</v>
      </c>
      <c r="AM100" s="20">
        <f t="shared" ca="1" si="33"/>
        <v>5</v>
      </c>
      <c r="AN100" s="20" cm="1">
        <f t="array" aca="1" ref="AN100" ca="1">IF(AM100="","",IF(AM100&lt;&gt;AM99,1,IF(AN99=misLíneas-2,0,AN99+1)))</f>
        <v>8</v>
      </c>
      <c r="AO100" s="20" t="str" cm="1">
        <f t="array" aca="1" ref="AO100" ca="1">IF(OR(AN100=0,AN100=""),"",INDEX(misCriticidades,AM100)&amp;"-"&amp;IFERROR(MATCH(AN100,miOrdenTarjeta,0),0))</f>
        <v>2-8</v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11</v>
      </c>
      <c r="AM101" s="20">
        <f t="shared" ca="1" si="33"/>
        <v>5</v>
      </c>
      <c r="AN101" s="20" cm="1">
        <f t="array" aca="1" ref="AN101" ca="1">IF(AM101="","",IF(AM101&lt;&gt;AM100,1,IF(AN100=misLíneas-2,0,AN100+1)))</f>
        <v>0</v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12</v>
      </c>
      <c r="AM102" s="20">
        <f t="shared" ca="1" si="33"/>
        <v>4</v>
      </c>
      <c r="AN102" s="20" cm="1">
        <f t="array" aca="1" ref="AN102" ca="1">IF(AM102="","",IF(AM102&lt;&gt;AM101,1,IF(AN101=misLíneas-2,0,AN101+1)))</f>
        <v>1</v>
      </c>
      <c r="AO102" s="20" t="str" cm="1">
        <f t="array" aca="1" ref="AO102" ca="1">IF(OR(AN102=0,AN102=""),"",INDEX(misCriticidades,AM102)&amp;"-"&amp;IFERROR(MATCH(AN102,miOrdenTarjeta,0),0))</f>
        <v>2-1</v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12</v>
      </c>
      <c r="AM103" s="20">
        <f t="shared" ca="1" si="33"/>
        <v>4</v>
      </c>
      <c r="AN103" s="20" cm="1">
        <f t="array" aca="1" ref="AN103" ca="1">IF(AM103="","",IF(AM103&lt;&gt;AM102,1,IF(AN102=misLíneas-2,0,AN102+1)))</f>
        <v>2</v>
      </c>
      <c r="AO103" s="20" t="str" cm="1">
        <f t="array" aca="1" ref="AO103" ca="1">IF(OR(AN103=0,AN103=""),"",INDEX(misCriticidades,AM103)&amp;"-"&amp;IFERROR(MATCH(AN103,miOrdenTarjeta,0),0))</f>
        <v>2-2</v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12</v>
      </c>
      <c r="AM104" s="20">
        <f t="shared" ca="1" si="33"/>
        <v>4</v>
      </c>
      <c r="AN104" s="20" cm="1">
        <f t="array" aca="1" ref="AN104" ca="1">IF(AM104="","",IF(AM104&lt;&gt;AM103,1,IF(AN103=misLíneas-2,0,AN103+1)))</f>
        <v>3</v>
      </c>
      <c r="AO104" s="20" t="str" cm="1">
        <f t="array" aca="1" ref="AO104" ca="1">IF(OR(AN104=0,AN104=""),"",INDEX(misCriticidades,AM104)&amp;"-"&amp;IFERROR(MATCH(AN104,miOrdenTarjeta,0),0))</f>
        <v>2-3</v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12</v>
      </c>
      <c r="AM105" s="20">
        <f t="shared" ca="1" si="33"/>
        <v>4</v>
      </c>
      <c r="AN105" s="20" cm="1">
        <f t="array" aca="1" ref="AN105" ca="1">IF(AM105="","",IF(AM105&lt;&gt;AM104,1,IF(AN104=misLíneas-2,0,AN104+1)))</f>
        <v>4</v>
      </c>
      <c r="AO105" s="20" t="str" cm="1">
        <f t="array" aca="1" ref="AO105" ca="1">IF(OR(AN105=0,AN105=""),"",INDEX(misCriticidades,AM105)&amp;"-"&amp;IFERROR(MATCH(AN105,miOrdenTarjeta,0),0))</f>
        <v>2-4</v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12</v>
      </c>
      <c r="AM106" s="20">
        <f t="shared" ca="1" si="33"/>
        <v>4</v>
      </c>
      <c r="AN106" s="20" cm="1">
        <f t="array" aca="1" ref="AN106" ca="1">IF(AM106="","",IF(AM106&lt;&gt;AM105,1,IF(AN105=misLíneas-2,0,AN105+1)))</f>
        <v>5</v>
      </c>
      <c r="AO106" s="20" t="str" cm="1">
        <f t="array" aca="1" ref="AO106" ca="1">IF(OR(AN106=0,AN106=""),"",INDEX(misCriticidades,AM106)&amp;"-"&amp;IFERROR(MATCH(AN106,miOrdenTarjeta,0),0))</f>
        <v>2-5</v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12</v>
      </c>
      <c r="AM107" s="20">
        <f t="shared" ca="1" si="33"/>
        <v>4</v>
      </c>
      <c r="AN107" s="20" cm="1">
        <f t="array" aca="1" ref="AN107" ca="1">IF(AM107="","",IF(AM107&lt;&gt;AM106,1,IF(AN106=misLíneas-2,0,AN106+1)))</f>
        <v>6</v>
      </c>
      <c r="AO107" s="20" t="str" cm="1">
        <f t="array" aca="1" ref="AO107" ca="1">IF(OR(AN107=0,AN107=""),"",INDEX(misCriticidades,AM107)&amp;"-"&amp;IFERROR(MATCH(AN107,miOrdenTarjeta,0),0))</f>
        <v>2-6</v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12</v>
      </c>
      <c r="AM108" s="20">
        <f t="shared" ca="1" si="33"/>
        <v>4</v>
      </c>
      <c r="AN108" s="20" cm="1">
        <f t="array" aca="1" ref="AN108" ca="1">IF(AM108="","",IF(AM108&lt;&gt;AM107,1,IF(AN107=misLíneas-2,0,AN107+1)))</f>
        <v>7</v>
      </c>
      <c r="AO108" s="20" t="str" cm="1">
        <f t="array" aca="1" ref="AO108" ca="1">IF(OR(AN108=0,AN108=""),"",INDEX(misCriticidades,AM108)&amp;"-"&amp;IFERROR(MATCH(AN108,miOrdenTarjeta,0),0))</f>
        <v>2-7</v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12</v>
      </c>
      <c r="AM109" s="20">
        <f t="shared" ca="1" si="33"/>
        <v>4</v>
      </c>
      <c r="AN109" s="20" cm="1">
        <f t="array" aca="1" ref="AN109" ca="1">IF(AM109="","",IF(AM109&lt;&gt;AM108,1,IF(AN108=misLíneas-2,0,AN108+1)))</f>
        <v>8</v>
      </c>
      <c r="AO109" s="20" t="str" cm="1">
        <f t="array" aca="1" ref="AO109" ca="1">IF(OR(AN109=0,AN109=""),"",INDEX(misCriticidades,AM109)&amp;"-"&amp;IFERROR(MATCH(AN109,miOrdenTarjeta,0),0))</f>
        <v>2-8</v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12</v>
      </c>
      <c r="AM110" s="20">
        <f t="shared" ca="1" si="33"/>
        <v>4</v>
      </c>
      <c r="AN110" s="20" cm="1">
        <f t="array" aca="1" ref="AN110" ca="1">IF(AM110="","",IF(AM110&lt;&gt;AM109,1,IF(AN109=misLíneas-2,0,AN109+1)))</f>
        <v>0</v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13</v>
      </c>
      <c r="AM111" s="20">
        <f t="shared" ca="1" si="33"/>
        <v>3</v>
      </c>
      <c r="AN111" s="20" cm="1">
        <f t="array" aca="1" ref="AN111" ca="1">IF(AM111="","",IF(AM111&lt;&gt;AM110,1,IF(AN110=misLíneas-2,0,AN110+1)))</f>
        <v>1</v>
      </c>
      <c r="AO111" s="20" t="str" cm="1">
        <f t="array" aca="1" ref="AO111" ca="1">IF(OR(AN111=0,AN111=""),"",INDEX(misCriticidades,AM111)&amp;"-"&amp;IFERROR(MATCH(AN111,miOrdenTarjeta,0),0))</f>
        <v>2-1</v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13</v>
      </c>
      <c r="AM112" s="20">
        <f t="shared" ca="1" si="33"/>
        <v>3</v>
      </c>
      <c r="AN112" s="20" cm="1">
        <f t="array" aca="1" ref="AN112" ca="1">IF(AM112="","",IF(AM112&lt;&gt;AM111,1,IF(AN111=misLíneas-2,0,AN111+1)))</f>
        <v>2</v>
      </c>
      <c r="AO112" s="20" t="str" cm="1">
        <f t="array" aca="1" ref="AO112" ca="1">IF(OR(AN112=0,AN112=""),"",INDEX(misCriticidades,AM112)&amp;"-"&amp;IFERROR(MATCH(AN112,miOrdenTarjeta,0),0))</f>
        <v>2-2</v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13</v>
      </c>
      <c r="AM113" s="20">
        <f t="shared" ca="1" si="33"/>
        <v>3</v>
      </c>
      <c r="AN113" s="20" cm="1">
        <f t="array" aca="1" ref="AN113" ca="1">IF(AM113="","",IF(AM113&lt;&gt;AM112,1,IF(AN112=misLíneas-2,0,AN112+1)))</f>
        <v>3</v>
      </c>
      <c r="AO113" s="20" t="str" cm="1">
        <f t="array" aca="1" ref="AO113" ca="1">IF(OR(AN113=0,AN113=""),"",INDEX(misCriticidades,AM113)&amp;"-"&amp;IFERROR(MATCH(AN113,miOrdenTarjeta,0),0))</f>
        <v>2-3</v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13</v>
      </c>
      <c r="AM114" s="20">
        <f t="shared" ca="1" si="33"/>
        <v>3</v>
      </c>
      <c r="AN114" s="20" cm="1">
        <f t="array" aca="1" ref="AN114" ca="1">IF(AM114="","",IF(AM114&lt;&gt;AM113,1,IF(AN113=misLíneas-2,0,AN113+1)))</f>
        <v>4</v>
      </c>
      <c r="AO114" s="20" t="str" cm="1">
        <f t="array" aca="1" ref="AO114" ca="1">IF(OR(AN114=0,AN114=""),"",INDEX(misCriticidades,AM114)&amp;"-"&amp;IFERROR(MATCH(AN114,miOrdenTarjeta,0),0))</f>
        <v>2-4</v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13</v>
      </c>
      <c r="AM115" s="20">
        <f t="shared" ca="1" si="33"/>
        <v>3</v>
      </c>
      <c r="AN115" s="20" cm="1">
        <f t="array" aca="1" ref="AN115" ca="1">IF(AM115="","",IF(AM115&lt;&gt;AM114,1,IF(AN114=misLíneas-2,0,AN114+1)))</f>
        <v>5</v>
      </c>
      <c r="AO115" s="20" t="str" cm="1">
        <f t="array" aca="1" ref="AO115" ca="1">IF(OR(AN115=0,AN115=""),"",INDEX(misCriticidades,AM115)&amp;"-"&amp;IFERROR(MATCH(AN115,miOrdenTarjeta,0),0))</f>
        <v>2-5</v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13</v>
      </c>
      <c r="AM116" s="20">
        <f t="shared" ca="1" si="33"/>
        <v>3</v>
      </c>
      <c r="AN116" s="20" cm="1">
        <f t="array" aca="1" ref="AN116" ca="1">IF(AM116="","",IF(AM116&lt;&gt;AM115,1,IF(AN115=misLíneas-2,0,AN115+1)))</f>
        <v>6</v>
      </c>
      <c r="AO116" s="20" t="str" cm="1">
        <f t="array" aca="1" ref="AO116" ca="1">IF(OR(AN116=0,AN116=""),"",INDEX(misCriticidades,AM116)&amp;"-"&amp;IFERROR(MATCH(AN116,miOrdenTarjeta,0),0))</f>
        <v>2-6</v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13</v>
      </c>
      <c r="AM117" s="20">
        <f t="shared" ca="1" si="33"/>
        <v>3</v>
      </c>
      <c r="AN117" s="20" cm="1">
        <f t="array" aca="1" ref="AN117" ca="1">IF(AM117="","",IF(AM117&lt;&gt;AM116,1,IF(AN116=misLíneas-2,0,AN116+1)))</f>
        <v>7</v>
      </c>
      <c r="AO117" s="20" t="str" cm="1">
        <f t="array" aca="1" ref="AO117" ca="1">IF(OR(AN117=0,AN117=""),"",INDEX(misCriticidades,AM117)&amp;"-"&amp;IFERROR(MATCH(AN117,miOrdenTarjeta,0),0))</f>
        <v>2-7</v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13</v>
      </c>
      <c r="AM118" s="20">
        <f t="shared" ca="1" si="33"/>
        <v>3</v>
      </c>
      <c r="AN118" s="20" cm="1">
        <f t="array" aca="1" ref="AN118" ca="1">IF(AM118="","",IF(AM118&lt;&gt;AM117,1,IF(AN117=misLíneas-2,0,AN117+1)))</f>
        <v>8</v>
      </c>
      <c r="AO118" s="20" t="str" cm="1">
        <f t="array" aca="1" ref="AO118" ca="1">IF(OR(AN118=0,AN118=""),"",INDEX(misCriticidades,AM118)&amp;"-"&amp;IFERROR(MATCH(AN118,miOrdenTarjeta,0),0))</f>
        <v>2-8</v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13</v>
      </c>
      <c r="AM119" s="20">
        <f t="shared" ca="1" si="33"/>
        <v>3</v>
      </c>
      <c r="AN119" s="20" cm="1">
        <f t="array" aca="1" ref="AN119" ca="1">IF(AM119="","",IF(AM119&lt;&gt;AM118,1,IF(AN118=misLíneas-2,0,AN118+1)))</f>
        <v>0</v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14</v>
      </c>
      <c r="AM120" s="20">
        <f t="shared" ca="1" si="33"/>
        <v>2</v>
      </c>
      <c r="AN120" s="20" cm="1">
        <f t="array" aca="1" ref="AN120" ca="1">IF(AM120="","",IF(AM120&lt;&gt;AM119,1,IF(AN119=misLíneas-2,0,AN119+1)))</f>
        <v>1</v>
      </c>
      <c r="AO120" s="20" t="str" cm="1">
        <f t="array" aca="1" ref="AO120" ca="1">IF(OR(AN120=0,AN120=""),"",INDEX(misCriticidades,AM120)&amp;"-"&amp;IFERROR(MATCH(AN120,miOrdenTarjeta,0),0))</f>
        <v>2-1</v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14</v>
      </c>
      <c r="AM121" s="20">
        <f t="shared" ca="1" si="33"/>
        <v>2</v>
      </c>
      <c r="AN121" s="20" cm="1">
        <f t="array" aca="1" ref="AN121" ca="1">IF(AM121="","",IF(AM121&lt;&gt;AM120,1,IF(AN120=misLíneas-2,0,AN120+1)))</f>
        <v>2</v>
      </c>
      <c r="AO121" s="20" t="str" cm="1">
        <f t="array" aca="1" ref="AO121" ca="1">IF(OR(AN121=0,AN121=""),"",INDEX(misCriticidades,AM121)&amp;"-"&amp;IFERROR(MATCH(AN121,miOrdenTarjeta,0),0))</f>
        <v>2-2</v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14</v>
      </c>
      <c r="AM122" s="20">
        <f t="shared" ca="1" si="33"/>
        <v>2</v>
      </c>
      <c r="AN122" s="20" cm="1">
        <f t="array" aca="1" ref="AN122" ca="1">IF(AM122="","",IF(AM122&lt;&gt;AM121,1,IF(AN121=misLíneas-2,0,AN121+1)))</f>
        <v>3</v>
      </c>
      <c r="AO122" s="20" t="str" cm="1">
        <f t="array" aca="1" ref="AO122" ca="1">IF(OR(AN122=0,AN122=""),"",INDEX(misCriticidades,AM122)&amp;"-"&amp;IFERROR(MATCH(AN122,miOrdenTarjeta,0),0))</f>
        <v>2-3</v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14</v>
      </c>
      <c r="AM123" s="20">
        <f t="shared" ca="1" si="33"/>
        <v>2</v>
      </c>
      <c r="AN123" s="20" cm="1">
        <f t="array" aca="1" ref="AN123" ca="1">IF(AM123="","",IF(AM123&lt;&gt;AM122,1,IF(AN122=misLíneas-2,0,AN122+1)))</f>
        <v>4</v>
      </c>
      <c r="AO123" s="20" t="str" cm="1">
        <f t="array" aca="1" ref="AO123" ca="1">IF(OR(AN123=0,AN123=""),"",INDEX(misCriticidades,AM123)&amp;"-"&amp;IFERROR(MATCH(AN123,miOrdenTarjeta,0),0))</f>
        <v>2-4</v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14</v>
      </c>
      <c r="AM124" s="20">
        <f t="shared" ca="1" si="33"/>
        <v>2</v>
      </c>
      <c r="AN124" s="20" cm="1">
        <f t="array" aca="1" ref="AN124" ca="1">IF(AM124="","",IF(AM124&lt;&gt;AM123,1,IF(AN123=misLíneas-2,0,AN123+1)))</f>
        <v>5</v>
      </c>
      <c r="AO124" s="20" t="str" cm="1">
        <f t="array" aca="1" ref="AO124" ca="1">IF(OR(AN124=0,AN124=""),"",INDEX(misCriticidades,AM124)&amp;"-"&amp;IFERROR(MATCH(AN124,miOrdenTarjeta,0),0))</f>
        <v>2-5</v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14</v>
      </c>
      <c r="AM125" s="20">
        <f t="shared" ca="1" si="33"/>
        <v>2</v>
      </c>
      <c r="AN125" s="20" cm="1">
        <f t="array" aca="1" ref="AN125" ca="1">IF(AM125="","",IF(AM125&lt;&gt;AM124,1,IF(AN124=misLíneas-2,0,AN124+1)))</f>
        <v>6</v>
      </c>
      <c r="AO125" s="20" t="str" cm="1">
        <f t="array" aca="1" ref="AO125" ca="1">IF(OR(AN125=0,AN125=""),"",INDEX(misCriticidades,AM125)&amp;"-"&amp;IFERROR(MATCH(AN125,miOrdenTarjeta,0),0))</f>
        <v>2-6</v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14</v>
      </c>
      <c r="AM126" s="20">
        <f t="shared" ca="1" si="33"/>
        <v>2</v>
      </c>
      <c r="AN126" s="20" cm="1">
        <f t="array" aca="1" ref="AN126" ca="1">IF(AM126="","",IF(AM126&lt;&gt;AM125,1,IF(AN125=misLíneas-2,0,AN125+1)))</f>
        <v>7</v>
      </c>
      <c r="AO126" s="20" t="str" cm="1">
        <f t="array" aca="1" ref="AO126" ca="1">IF(OR(AN126=0,AN126=""),"",INDEX(misCriticidades,AM126)&amp;"-"&amp;IFERROR(MATCH(AN126,miOrdenTarjeta,0),0))</f>
        <v>2-7</v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14</v>
      </c>
      <c r="AM127" s="20">
        <f t="shared" ca="1" si="33"/>
        <v>2</v>
      </c>
      <c r="AN127" s="20" cm="1">
        <f t="array" aca="1" ref="AN127" ca="1">IF(AM127="","",IF(AM127&lt;&gt;AM126,1,IF(AN126=misLíneas-2,0,AN126+1)))</f>
        <v>8</v>
      </c>
      <c r="AO127" s="20" t="str" cm="1">
        <f t="array" aca="1" ref="AO127" ca="1">IF(OR(AN127=0,AN127=""),"",INDEX(misCriticidades,AM127)&amp;"-"&amp;IFERROR(MATCH(AN127,miOrdenTarjeta,0),0))</f>
        <v>2-8</v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14</v>
      </c>
      <c r="AM128" s="20">
        <f t="shared" ca="1" si="33"/>
        <v>2</v>
      </c>
      <c r="AN128" s="20" cm="1">
        <f t="array" aca="1" ref="AN128" ca="1">IF(AM128="","",IF(AM128&lt;&gt;AM127,1,IF(AN127=misLíneas-2,0,AN127+1)))</f>
        <v>0</v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15</v>
      </c>
      <c r="AM129" s="20">
        <f t="shared" ca="1" si="33"/>
        <v>1</v>
      </c>
      <c r="AN129" s="20" cm="1">
        <f t="array" aca="1" ref="AN129" ca="1">IF(AM129="","",IF(AM129&lt;&gt;AM128,1,IF(AN128=misLíneas-2,0,AN128+1)))</f>
        <v>1</v>
      </c>
      <c r="AO129" s="20" t="str" cm="1">
        <f t="array" aca="1" ref="AO129" ca="1">IF(OR(AN129=0,AN129=""),"",INDEX(misCriticidades,AM129)&amp;"-"&amp;IFERROR(MATCH(AN129,miOrdenTarjeta,0),0))</f>
        <v>2-1</v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15</v>
      </c>
      <c r="AM130" s="20">
        <f t="shared" ca="1" si="33"/>
        <v>1</v>
      </c>
      <c r="AN130" s="20" cm="1">
        <f t="array" aca="1" ref="AN130" ca="1">IF(AM130="","",IF(AM130&lt;&gt;AM129,1,IF(AN129=misLíneas-2,0,AN129+1)))</f>
        <v>2</v>
      </c>
      <c r="AO130" s="20" t="str" cm="1">
        <f t="array" aca="1" ref="AO130" ca="1">IF(OR(AN130=0,AN130=""),"",INDEX(misCriticidades,AM130)&amp;"-"&amp;IFERROR(MATCH(AN130,miOrdenTarjeta,0),0))</f>
        <v>2-2</v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15</v>
      </c>
      <c r="AM131" s="20">
        <f t="shared" ref="AM131:AM194" ca="1" si="58">IF(AL131&gt;AL130,IFERROR(IF(AO$1="v",SMALL(AK$2:AK$101,AL131),LARGE(AK$2:AK$101,AL131)),""),AM130)</f>
        <v>1</v>
      </c>
      <c r="AN131" s="20" cm="1">
        <f t="array" aca="1" ref="AN131" ca="1">IF(AM131="","",IF(AM131&lt;&gt;AM130,1,IF(AN130=misLíneas-2,0,AN130+1)))</f>
        <v>3</v>
      </c>
      <c r="AO131" s="20" t="str" cm="1">
        <f t="array" aca="1" ref="AO131" ca="1">IF(OR(AN131=0,AN131=""),"",INDEX(misCriticidades,AM131)&amp;"-"&amp;IFERROR(MATCH(AN131,miOrdenTarjeta,0),0))</f>
        <v>2-3</v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15</v>
      </c>
      <c r="AM132" s="20">
        <f t="shared" ca="1" si="58"/>
        <v>1</v>
      </c>
      <c r="AN132" s="20" cm="1">
        <f t="array" aca="1" ref="AN132" ca="1">IF(AM132="","",IF(AM132&lt;&gt;AM131,1,IF(AN131=misLíneas-2,0,AN131+1)))</f>
        <v>4</v>
      </c>
      <c r="AO132" s="20" t="str" cm="1">
        <f t="array" aca="1" ref="AO132" ca="1">IF(OR(AN132=0,AN132=""),"",INDEX(misCriticidades,AM132)&amp;"-"&amp;IFERROR(MATCH(AN132,miOrdenTarjeta,0),0))</f>
        <v>2-4</v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15</v>
      </c>
      <c r="AM133" s="20">
        <f t="shared" ca="1" si="58"/>
        <v>1</v>
      </c>
      <c r="AN133" s="20" cm="1">
        <f t="array" aca="1" ref="AN133" ca="1">IF(AM133="","",IF(AM133&lt;&gt;AM132,1,IF(AN132=misLíneas-2,0,AN132+1)))</f>
        <v>5</v>
      </c>
      <c r="AO133" s="20" t="str" cm="1">
        <f t="array" aca="1" ref="AO133" ca="1">IF(OR(AN133=0,AN133=""),"",INDEX(misCriticidades,AM133)&amp;"-"&amp;IFERROR(MATCH(AN133,miOrdenTarjeta,0),0))</f>
        <v>2-5</v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15</v>
      </c>
      <c r="AM134" s="20">
        <f t="shared" ca="1" si="58"/>
        <v>1</v>
      </c>
      <c r="AN134" s="20" cm="1">
        <f t="array" aca="1" ref="AN134" ca="1">IF(AM134="","",IF(AM134&lt;&gt;AM133,1,IF(AN133=misLíneas-2,0,AN133+1)))</f>
        <v>6</v>
      </c>
      <c r="AO134" s="20" t="str" cm="1">
        <f t="array" aca="1" ref="AO134" ca="1">IF(OR(AN134=0,AN134=""),"",INDEX(misCriticidades,AM134)&amp;"-"&amp;IFERROR(MATCH(AN134,miOrdenTarjeta,0),0))</f>
        <v>2-6</v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15</v>
      </c>
      <c r="AM135" s="20">
        <f t="shared" ca="1" si="58"/>
        <v>1</v>
      </c>
      <c r="AN135" s="20" cm="1">
        <f t="array" aca="1" ref="AN135" ca="1">IF(AM135="","",IF(AM135&lt;&gt;AM134,1,IF(AN134=misLíneas-2,0,AN134+1)))</f>
        <v>7</v>
      </c>
      <c r="AO135" s="20" t="str" cm="1">
        <f t="array" aca="1" ref="AO135" ca="1">IF(OR(AN135=0,AN135=""),"",INDEX(misCriticidades,AM135)&amp;"-"&amp;IFERROR(MATCH(AN135,miOrdenTarjeta,0),0))</f>
        <v>2-7</v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15</v>
      </c>
      <c r="AM136" s="20">
        <f t="shared" ca="1" si="58"/>
        <v>1</v>
      </c>
      <c r="AN136" s="20" cm="1">
        <f t="array" aca="1" ref="AN136" ca="1">IF(AM136="","",IF(AM136&lt;&gt;AM135,1,IF(AN135=misLíneas-2,0,AN135+1)))</f>
        <v>8</v>
      </c>
      <c r="AO136" s="20" t="str" cm="1">
        <f t="array" aca="1" ref="AO136" ca="1">IF(OR(AN136=0,AN136=""),"",INDEX(misCriticidades,AM136)&amp;"-"&amp;IFERROR(MATCH(AN136,miOrdenTarjeta,0),0))</f>
        <v>2-8</v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15</v>
      </c>
      <c r="AM137" s="20">
        <f t="shared" ca="1" si="58"/>
        <v>1</v>
      </c>
      <c r="AN137" s="20" cm="1">
        <f t="array" aca="1" ref="AN137" ca="1">IF(AM137="","",IF(AM137&lt;&gt;AM136,1,IF(AN136=misLíneas-2,0,AN136+1)))</f>
        <v>0</v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16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16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16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16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16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16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16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16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16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16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16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16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16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16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16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16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16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16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16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16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16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16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16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16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16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16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16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16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16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16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16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16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16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16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16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16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16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16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16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16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16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16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16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16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16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16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16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16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16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16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16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16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16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16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16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16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16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">
      <c r="C195" s="20">
        <f t="shared" ca="1" si="70"/>
        <v>1</v>
      </c>
      <c r="D195" s="20" t="str">
        <f ca="1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ca="1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ca="1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</v>
      </c>
      <c r="S195" s="20" t="str">
        <f ca="1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ca="1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ca="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ca="1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16</v>
      </c>
      <c r="AM195" s="20" t="str">
        <f ca="1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ca="1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ca="1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">
      <c r="C196" s="20">
        <f t="shared" ca="1" si="70"/>
        <v>1</v>
      </c>
      <c r="D196" s="20" t="str">
        <f ca="1">IF(C196&gt;C195,IFERROR(IF(F$1="v",SMALL(B$2:B$101,C196),LARGE(B$2:B$101,C196)),""),D195)</f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ca="1">H195--(J195=0)</f>
        <v>2</v>
      </c>
      <c r="I196" s="20" t="str">
        <f ca="1">IF(H196&gt;H195,IFERROR(IF(K$1="v",SMALL(G$2:G$101,H196),LARGE(G$2:G$101,H196)),""),I195)</f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ca="1">M195--(O195=0)</f>
        <v>1</v>
      </c>
      <c r="N196" s="20" t="str">
        <f ca="1">IF(M196&gt;M195,IFERROR(IF(P$1="v",SMALL(L$2:L$101,M196),LARGE(L$2:L$101,M196)),""),N195)</f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ca="1">R195--(T195=0)</f>
        <v>1</v>
      </c>
      <c r="S196" s="20" t="str">
        <f ca="1">IF(R196&gt;R195,IFERROR(IF(U$1="v",SMALL(Q$2:Q$101,R196),LARGE(Q$2:Q$101,R196)),""),S195)</f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ca="1">W195--(Y195=0)</f>
        <v>1</v>
      </c>
      <c r="X196" s="20" t="str">
        <f ca="1">IF(W196&gt;W195,IFERROR(IF(Z$1="v",SMALL(V$2:V$101,W196),LARGE(V$2:V$101,W196)),""),X195)</f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ca="1">AB195--(AD195=0)</f>
        <v>1</v>
      </c>
      <c r="AC196" s="20" t="str">
        <f ca="1">IF(AB196&gt;AB195,IFERROR(IF(AE$1="v",SMALL(AA$2:AA$101,AB196),LARGE(AA$2:AA$101,AB196)),""),AC195)</f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ca="1">AG195--(AI195=0)</f>
        <v>1</v>
      </c>
      <c r="AH196" s="20" t="str">
        <f ca="1">IF(AG196&gt;AG195,IFERROR(IF(AJ$1="v",SMALL(AF$2:AF$101,AG196),LARGE(AF$2:AF$101,AG196)),""),AH195)</f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ca="1">AL195--(AN195=0)</f>
        <v>16</v>
      </c>
      <c r="AM196" s="20" t="str">
        <f ca="1">IF(AL196&gt;AL195,IFERROR(IF(AO$1="v",SMALL(AK$2:AK$101,AL196),LARGE(AK$2:AK$101,AL196)),""),AM195)</f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ca="1">AQ195--(AS195=0)</f>
        <v>1</v>
      </c>
      <c r="AR196" s="20" t="str">
        <f ca="1">IF(AQ196&gt;AQ195,IFERROR(IF(AT$1="v",SMALL(AP$2:AP$101,AQ196),LARGE(AP$2:AP$101,AQ196)),""),AR195)</f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ca="1">AV195--(AX195=0)</f>
        <v>1</v>
      </c>
      <c r="AW196" s="20" t="str">
        <f ca="1">IF(AV196&gt;AV195,IFERROR(IF(AY$1="v",SMALL(AU$2:AU$101,AV196),LARGE(AU$2:AU$101,AV196)),""),AW195)</f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">
      <c r="C197" s="20">
        <f t="shared" ca="1" si="70"/>
        <v>1</v>
      </c>
      <c r="D197" s="20" t="str">
        <f ca="1">IF(C197&gt;C196,IFERROR(IF(F$1="v",SMALL(B$2:B$101,C197),LARGE(B$2:B$101,C197)),""),D196)</f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ca="1">H196--(J196=0)</f>
        <v>2</v>
      </c>
      <c r="I197" s="20" t="str">
        <f ca="1">IF(H197&gt;H196,IFERROR(IF(K$1="v",SMALL(G$2:G$101,H197),LARGE(G$2:G$101,H197)),""),I196)</f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ca="1">M196--(O196=0)</f>
        <v>1</v>
      </c>
      <c r="N197" s="20" t="str">
        <f ca="1">IF(M197&gt;M196,IFERROR(IF(P$1="v",SMALL(L$2:L$101,M197),LARGE(L$2:L$101,M197)),""),N196)</f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ca="1">R196--(T196=0)</f>
        <v>1</v>
      </c>
      <c r="S197" s="20" t="str">
        <f ca="1">IF(R197&gt;R196,IFERROR(IF(U$1="v",SMALL(Q$2:Q$101,R197),LARGE(Q$2:Q$101,R197)),""),S196)</f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ca="1">W196--(Y196=0)</f>
        <v>1</v>
      </c>
      <c r="X197" s="20" t="str">
        <f ca="1">IF(W197&gt;W196,IFERROR(IF(Z$1="v",SMALL(V$2:V$101,W197),LARGE(V$2:V$101,W197)),""),X196)</f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ca="1">AB196--(AD196=0)</f>
        <v>1</v>
      </c>
      <c r="AC197" s="20" t="str">
        <f ca="1">IF(AB197&gt;AB196,IFERROR(IF(AE$1="v",SMALL(AA$2:AA$101,AB197),LARGE(AA$2:AA$101,AB197)),""),AC196)</f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ca="1">AG196--(AI196=0)</f>
        <v>1</v>
      </c>
      <c r="AH197" s="20" t="str">
        <f ca="1">IF(AG197&gt;AG196,IFERROR(IF(AJ$1="v",SMALL(AF$2:AF$101,AG197),LARGE(AF$2:AF$101,AG197)),""),AH196)</f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ca="1">AL196--(AN196=0)</f>
        <v>16</v>
      </c>
      <c r="AM197" s="20" t="str">
        <f ca="1">IF(AL197&gt;AL196,IFERROR(IF(AO$1="v",SMALL(AK$2:AK$101,AL197),LARGE(AK$2:AK$101,AL197)),""),AM196)</f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ca="1">AQ196--(AS196=0)</f>
        <v>1</v>
      </c>
      <c r="AR197" s="20" t="str">
        <f ca="1">IF(AQ197&gt;AQ196,IFERROR(IF(AT$1="v",SMALL(AP$2:AP$101,AQ197),LARGE(AP$2:AP$101,AQ197)),""),AR196)</f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ca="1">AV196--(AX196=0)</f>
        <v>1</v>
      </c>
      <c r="AW197" s="20" t="str">
        <f ca="1">IF(AV197&gt;AV196,IFERROR(IF(AY$1="v",SMALL(AU$2:AU$101,AV197),LARGE(AU$2:AU$101,AV197)),""),AW196)</f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">
      <c r="C198" s="20">
        <f t="shared" ca="1" si="70"/>
        <v>1</v>
      </c>
      <c r="D198" s="20" t="str">
        <f ca="1">IF(C198&gt;C197,IFERROR(IF(F$1="v",SMALL(B$2:B$101,C198),LARGE(B$2:B$101,C198)),""),D197)</f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ca="1">H197--(J197=0)</f>
        <v>2</v>
      </c>
      <c r="I198" s="20" t="str">
        <f ca="1">IF(H198&gt;H197,IFERROR(IF(K$1="v",SMALL(G$2:G$101,H198),LARGE(G$2:G$101,H198)),""),I197)</f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ca="1">M197--(O197=0)</f>
        <v>1</v>
      </c>
      <c r="N198" s="20" t="str">
        <f ca="1">IF(M198&gt;M197,IFERROR(IF(P$1="v",SMALL(L$2:L$101,M198),LARGE(L$2:L$101,M198)),""),N197)</f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ca="1">R197--(T197=0)</f>
        <v>1</v>
      </c>
      <c r="S198" s="20" t="str">
        <f ca="1">IF(R198&gt;R197,IFERROR(IF(U$1="v",SMALL(Q$2:Q$101,R198),LARGE(Q$2:Q$101,R198)),""),S197)</f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ca="1">W197--(Y197=0)</f>
        <v>1</v>
      </c>
      <c r="X198" s="20" t="str">
        <f ca="1">IF(W198&gt;W197,IFERROR(IF(Z$1="v",SMALL(V$2:V$101,W198),LARGE(V$2:V$101,W198)),""),X197)</f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ca="1">AB197--(AD197=0)</f>
        <v>1</v>
      </c>
      <c r="AC198" s="20" t="str">
        <f ca="1">IF(AB198&gt;AB197,IFERROR(IF(AE$1="v",SMALL(AA$2:AA$101,AB198),LARGE(AA$2:AA$101,AB198)),""),AC197)</f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ca="1">AG197--(AI197=0)</f>
        <v>1</v>
      </c>
      <c r="AH198" s="20" t="str">
        <f ca="1">IF(AG198&gt;AG197,IFERROR(IF(AJ$1="v",SMALL(AF$2:AF$101,AG198),LARGE(AF$2:AF$101,AG198)),""),AH197)</f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ca="1">AL197--(AN197=0)</f>
        <v>16</v>
      </c>
      <c r="AM198" s="20" t="str">
        <f ca="1">IF(AL198&gt;AL197,IFERROR(IF(AO$1="v",SMALL(AK$2:AK$101,AL198),LARGE(AK$2:AK$101,AL198)),""),AM197)</f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ca="1">AQ197--(AS197=0)</f>
        <v>1</v>
      </c>
      <c r="AR198" s="20" t="str">
        <f ca="1">IF(AQ198&gt;AQ197,IFERROR(IF(AT$1="v",SMALL(AP$2:AP$101,AQ198),LARGE(AP$2:AP$101,AQ198)),""),AR197)</f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ca="1">AV197--(AX197=0)</f>
        <v>1</v>
      </c>
      <c r="AW198" s="20" t="str">
        <f ca="1">IF(AV198&gt;AV197,IFERROR(IF(AY$1="v",SMALL(AU$2:AU$101,AV198),LARGE(AU$2:AU$101,AV198)),""),AW197)</f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7" width="32.5" style="2" customWidth="1"/>
    <col min="8" max="16384" width="10.6640625" style="2" hidden="1"/>
  </cols>
  <sheetData>
    <row r="1" spans="1:7" x14ac:dyDescent="0.2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2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2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2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2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2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2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2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2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2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2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2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2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2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2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2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2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2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2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2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2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2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2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2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2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2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2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2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2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2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2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2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2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jose ignacio leiton</cp:lastModifiedBy>
  <cp:revision>0</cp:revision>
  <dcterms:created xsi:type="dcterms:W3CDTF">2022-12-26T11:27:14Z</dcterms:created>
  <dcterms:modified xsi:type="dcterms:W3CDTF">2026-07-13T23:10:53Z</dcterms:modified>
  <cp:category/>
  <cp:contentStatus/>
</cp:coreProperties>
</file>