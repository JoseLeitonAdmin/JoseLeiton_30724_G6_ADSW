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secito/Desktop/ANALISIS/JoseLeiton_30724_G0_ADSW/KANBAN/"/>
    </mc:Choice>
  </mc:AlternateContent>
  <xr:revisionPtr revIDLastSave="0" documentId="13_ncr:1_{ABAAD5D4-F16A-894B-8FD4-05A0947DEEBB}" xr6:coauthVersionLast="47" xr6:coauthVersionMax="47" xr10:uidLastSave="{00000000-0000-0000-0000-000000000000}"/>
  <workbookProtection lockStructure="1"/>
  <bookViews>
    <workbookView xWindow="0" yWindow="660" windowWidth="30240" windowHeight="171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" i="5" l="1" a="1"/>
  <c r="D6" i="5" s="1"/>
  <c r="D16" i="5" a="1"/>
  <c r="D16" i="5" s="1"/>
  <c r="D46" i="5" a="1"/>
  <c r="D46" i="5" s="1"/>
  <c r="D27" i="5" a="1"/>
  <c r="D27" i="5" s="1"/>
  <c r="D14" i="5" a="1"/>
  <c r="D14" i="5" s="1"/>
  <c r="D9" i="5" a="1"/>
  <c r="D9" i="5" s="1"/>
  <c r="D25" i="5" a="1"/>
  <c r="D25" i="5" s="1"/>
  <c r="D39" i="5" a="1"/>
  <c r="D39" i="5" s="1"/>
  <c r="D31" i="5" a="1"/>
  <c r="D31" i="5" s="1"/>
  <c r="D34" i="5" a="1"/>
  <c r="D34" i="5" s="1"/>
  <c r="D24" i="5" a="1"/>
  <c r="D24" i="5" s="1"/>
  <c r="D22" i="5" a="1"/>
  <c r="D22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1" i="5"/>
  <c r="K17" i="5"/>
  <c r="K22" i="5"/>
  <c r="K56" i="5"/>
  <c r="K97" i="5"/>
  <c r="K4" i="5"/>
  <c r="K79" i="5"/>
  <c r="K57" i="5"/>
  <c r="K31" i="5"/>
  <c r="K93" i="5"/>
  <c r="K42" i="5"/>
  <c r="K38" i="5"/>
  <c r="K52" i="5"/>
  <c r="K45" i="5"/>
  <c r="K12" i="5"/>
  <c r="K16" i="5"/>
  <c r="K37" i="5"/>
  <c r="K36" i="5"/>
  <c r="K55" i="5"/>
  <c r="K90" i="5"/>
  <c r="K76" i="5"/>
  <c r="K91" i="5"/>
  <c r="K54" i="5"/>
  <c r="K34" i="5"/>
  <c r="K48" i="5"/>
  <c r="K78" i="5"/>
  <c r="K101" i="5"/>
  <c r="K74" i="5"/>
  <c r="K96" i="5"/>
  <c r="K13" i="5"/>
  <c r="K2" i="5"/>
  <c r="K5" i="5"/>
  <c r="K88" i="5"/>
  <c r="K23" i="5"/>
  <c r="K8" i="5"/>
  <c r="K6" i="5"/>
  <c r="K33" i="5"/>
  <c r="K89" i="5"/>
  <c r="K87" i="5"/>
  <c r="K15" i="5"/>
  <c r="K35" i="5"/>
  <c r="K71" i="5"/>
  <c r="K19" i="5"/>
  <c r="K60" i="5"/>
  <c r="K98" i="5"/>
  <c r="K21" i="5"/>
  <c r="K95" i="5"/>
  <c r="K99" i="5"/>
  <c r="K66" i="5"/>
  <c r="K47" i="5"/>
  <c r="K25" i="5"/>
  <c r="K46" i="5"/>
  <c r="K39" i="5"/>
  <c r="K69" i="5"/>
  <c r="K26" i="5"/>
  <c r="K75" i="5"/>
  <c r="K81" i="5"/>
  <c r="K30" i="5"/>
  <c r="K50" i="5"/>
  <c r="K68" i="5"/>
  <c r="K70" i="5"/>
  <c r="K53" i="5"/>
  <c r="K11" i="5"/>
  <c r="K3" i="5"/>
  <c r="K85" i="5"/>
  <c r="K67" i="5"/>
  <c r="K40" i="5"/>
  <c r="K29" i="5"/>
  <c r="K9" i="5"/>
  <c r="K80" i="5"/>
  <c r="K84" i="5"/>
  <c r="K64" i="5"/>
  <c r="K100" i="5"/>
  <c r="K94" i="5"/>
  <c r="K59" i="5"/>
  <c r="K83" i="5"/>
  <c r="K24" i="5"/>
  <c r="K32" i="5"/>
  <c r="K58" i="5"/>
  <c r="K51" i="5"/>
  <c r="K82" i="5"/>
  <c r="K86" i="5"/>
  <c r="K18" i="5"/>
  <c r="K7" i="5"/>
  <c r="K72" i="5"/>
  <c r="K49" i="5"/>
  <c r="K77" i="5"/>
  <c r="K28" i="5"/>
  <c r="K62" i="5"/>
  <c r="K65" i="5"/>
  <c r="K27" i="5"/>
  <c r="K14" i="5"/>
  <c r="K43" i="5"/>
  <c r="K10" i="5"/>
  <c r="K61" i="5"/>
  <c r="K63" i="5"/>
  <c r="K20" i="5"/>
  <c r="K92" i="5"/>
  <c r="K73" i="5"/>
  <c r="K4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82" i="5"/>
  <c r="M20" i="5"/>
  <c r="N2" i="5"/>
  <c r="L83" i="5"/>
  <c r="N18" i="5"/>
  <c r="M67" i="5"/>
  <c r="M53" i="5"/>
  <c r="M32" i="5"/>
  <c r="M44" i="5"/>
  <c r="N47" i="5"/>
  <c r="N6" i="5"/>
  <c r="L23" i="5"/>
  <c r="L16" i="5"/>
  <c r="N95" i="5"/>
  <c r="N24" i="5"/>
  <c r="N100" i="5"/>
  <c r="L75" i="5"/>
  <c r="M54" i="5"/>
  <c r="N17" i="5"/>
  <c r="N52" i="5"/>
  <c r="L41" i="5"/>
  <c r="M5" i="5"/>
  <c r="N7" i="5"/>
  <c r="L17" i="5"/>
  <c r="N82" i="5"/>
  <c r="N38" i="5"/>
  <c r="L96" i="5"/>
  <c r="L30" i="5"/>
  <c r="N39" i="5"/>
  <c r="M88" i="5"/>
  <c r="L40" i="5"/>
  <c r="L64" i="5"/>
  <c r="L94" i="5"/>
  <c r="L50" i="5"/>
  <c r="N79" i="5"/>
  <c r="L6" i="5"/>
  <c r="N50" i="5"/>
  <c r="M83" i="5"/>
  <c r="M64" i="5"/>
  <c r="L81" i="5"/>
  <c r="L61" i="5"/>
  <c r="L54" i="5"/>
  <c r="M69" i="5"/>
  <c r="N11" i="5"/>
  <c r="N86" i="5"/>
  <c r="L53" i="5"/>
  <c r="L84" i="5"/>
  <c r="N59" i="5"/>
  <c r="M16" i="5"/>
  <c r="M41" i="5"/>
  <c r="M87" i="5"/>
  <c r="N65" i="5"/>
  <c r="L77" i="5"/>
  <c r="M7" i="5"/>
  <c r="M62" i="5"/>
  <c r="N4" i="5"/>
  <c r="N26" i="5"/>
  <c r="L12" i="5"/>
  <c r="M4" i="5"/>
  <c r="N37" i="5"/>
  <c r="N51" i="5"/>
  <c r="N19" i="5"/>
  <c r="N57" i="5"/>
  <c r="L38" i="5"/>
  <c r="M79" i="5"/>
  <c r="L19" i="5"/>
  <c r="M98" i="5"/>
  <c r="L18" i="5"/>
  <c r="N10" i="5"/>
  <c r="M39" i="5"/>
  <c r="N81" i="5"/>
  <c r="N58" i="5"/>
  <c r="N43" i="5"/>
  <c r="L27" i="5"/>
  <c r="M100" i="5"/>
  <c r="N88" i="5"/>
  <c r="N54" i="5"/>
  <c r="N41" i="5"/>
  <c r="M47" i="5"/>
  <c r="N23" i="5"/>
  <c r="M29" i="5"/>
  <c r="L74" i="5"/>
  <c r="N40" i="5"/>
  <c r="M76" i="5"/>
  <c r="M97" i="5"/>
  <c r="N92" i="5"/>
  <c r="N64" i="5"/>
  <c r="L58" i="5"/>
  <c r="M91" i="5"/>
  <c r="M48" i="5"/>
  <c r="L48" i="5"/>
  <c r="L87" i="5"/>
  <c r="L89" i="5"/>
  <c r="N63" i="5"/>
  <c r="L7" i="5"/>
  <c r="L15" i="5"/>
  <c r="M2" i="5"/>
  <c r="L3" i="5"/>
  <c r="L66" i="5"/>
  <c r="L76" i="5"/>
  <c r="L4" i="5"/>
  <c r="N75" i="5"/>
  <c r="N98" i="5"/>
  <c r="N5" i="5"/>
  <c r="N83" i="5"/>
  <c r="L24" i="5"/>
  <c r="N44" i="5"/>
  <c r="L99" i="5"/>
  <c r="N27" i="5"/>
  <c r="L5" i="5"/>
  <c r="M84" i="5"/>
  <c r="L73" i="5"/>
  <c r="L32" i="5"/>
  <c r="L31" i="5"/>
  <c r="N20" i="5"/>
  <c r="N76" i="5"/>
  <c r="M43" i="5"/>
  <c r="L36" i="5"/>
  <c r="M59" i="5"/>
  <c r="M13" i="5"/>
  <c r="M38" i="5"/>
  <c r="L8" i="5"/>
  <c r="L69" i="5"/>
  <c r="M74" i="5"/>
  <c r="N62" i="5"/>
  <c r="N32" i="5"/>
  <c r="L67" i="5"/>
  <c r="M77" i="5"/>
  <c r="L65" i="5"/>
  <c r="M70" i="5"/>
  <c r="N73" i="5"/>
  <c r="N8" i="5"/>
  <c r="N87" i="5"/>
  <c r="L11" i="5"/>
  <c r="L26" i="5"/>
  <c r="M96" i="5"/>
  <c r="N15" i="5"/>
  <c r="M9" i="5"/>
  <c r="M35" i="5"/>
  <c r="M90" i="5"/>
  <c r="M6" i="5"/>
  <c r="L85" i="5"/>
  <c r="M36" i="5"/>
  <c r="N31" i="5"/>
  <c r="M63" i="5"/>
  <c r="M86" i="5"/>
  <c r="M10" i="5"/>
  <c r="L101" i="5"/>
  <c r="L2" i="5"/>
  <c r="M78" i="5"/>
  <c r="M57" i="5"/>
  <c r="M30" i="5"/>
  <c r="M52" i="5"/>
  <c r="N89" i="5"/>
  <c r="N101" i="5"/>
  <c r="L47" i="5"/>
  <c r="M25" i="5"/>
  <c r="M31" i="5"/>
  <c r="L39" i="5"/>
  <c r="L35" i="5"/>
  <c r="M93" i="5"/>
  <c r="L100" i="5"/>
  <c r="M75" i="5"/>
  <c r="M22" i="5"/>
  <c r="N96" i="5"/>
  <c r="M14" i="5"/>
  <c r="L56" i="5"/>
  <c r="N69" i="5"/>
  <c r="L29" i="5"/>
  <c r="M45" i="5"/>
  <c r="M37" i="5"/>
  <c r="N48" i="5"/>
  <c r="N66" i="5"/>
  <c r="L10" i="5"/>
  <c r="M51" i="5"/>
  <c r="L93" i="5"/>
  <c r="M19" i="5"/>
  <c r="N55" i="5"/>
  <c r="L45" i="5"/>
  <c r="N34" i="5"/>
  <c r="L9" i="5"/>
  <c r="M42" i="5"/>
  <c r="N30" i="5"/>
  <c r="L95" i="5"/>
  <c r="N29" i="5"/>
  <c r="L14" i="5"/>
  <c r="L63" i="5"/>
  <c r="M56" i="5"/>
  <c r="M23" i="5"/>
  <c r="L33" i="5"/>
  <c r="L90" i="5"/>
  <c r="M21" i="5"/>
  <c r="L68" i="5"/>
  <c r="N84" i="5"/>
  <c r="N90" i="5"/>
  <c r="M34" i="5"/>
  <c r="N13" i="5"/>
  <c r="L25" i="5"/>
  <c r="L78" i="5"/>
  <c r="L22" i="5"/>
  <c r="M33" i="5"/>
  <c r="M89" i="5"/>
  <c r="N46" i="5"/>
  <c r="N36" i="5"/>
  <c r="N80" i="5"/>
  <c r="N12" i="5"/>
  <c r="M11" i="5"/>
  <c r="M28" i="5"/>
  <c r="M61" i="5"/>
  <c r="L98" i="5"/>
  <c r="M95" i="5"/>
  <c r="N9" i="5"/>
  <c r="L46" i="5"/>
  <c r="L51" i="5"/>
  <c r="N35" i="5"/>
  <c r="M73" i="5"/>
  <c r="N60" i="5"/>
  <c r="N94" i="5"/>
  <c r="M71" i="5"/>
  <c r="N25" i="5"/>
  <c r="M17" i="5"/>
  <c r="M94" i="5"/>
  <c r="L57" i="5"/>
  <c r="M46" i="5"/>
  <c r="L43" i="5"/>
  <c r="L92" i="5"/>
  <c r="N42" i="5"/>
  <c r="L91" i="5"/>
  <c r="M24" i="5"/>
  <c r="N16" i="5"/>
  <c r="L20" i="5"/>
  <c r="N70" i="5"/>
  <c r="M85" i="5"/>
  <c r="L34" i="5"/>
  <c r="L72" i="5"/>
  <c r="L52" i="5"/>
  <c r="L13" i="5"/>
  <c r="M99" i="5"/>
  <c r="M8" i="5"/>
  <c r="N3" i="5"/>
  <c r="L60" i="5"/>
  <c r="N21" i="5"/>
  <c r="L97" i="5"/>
  <c r="N56" i="5"/>
  <c r="M58" i="5"/>
  <c r="N33" i="5"/>
  <c r="L79" i="5"/>
  <c r="L21" i="5"/>
  <c r="M72" i="5"/>
  <c r="M92" i="5"/>
  <c r="N99" i="5"/>
  <c r="N97" i="5"/>
  <c r="M66" i="5"/>
  <c r="N71" i="5"/>
  <c r="M26" i="5"/>
  <c r="N28" i="5"/>
  <c r="L37" i="5"/>
  <c r="L28" i="5"/>
  <c r="N93" i="5"/>
  <c r="N45" i="5"/>
  <c r="M50" i="5"/>
  <c r="M18" i="5"/>
  <c r="L59" i="5"/>
  <c r="M3" i="5"/>
  <c r="L44" i="5"/>
  <c r="N72" i="5"/>
  <c r="N53" i="5"/>
  <c r="N68" i="5"/>
  <c r="M27" i="5"/>
  <c r="L86" i="5"/>
  <c r="N14" i="5"/>
  <c r="M55" i="5"/>
  <c r="N91" i="5"/>
  <c r="M12" i="5"/>
  <c r="L71" i="5"/>
  <c r="N67" i="5"/>
  <c r="M80" i="5"/>
  <c r="M40" i="5"/>
  <c r="L62" i="5"/>
  <c r="N22" i="5"/>
  <c r="N78" i="5"/>
  <c r="M68" i="5"/>
  <c r="L80" i="5"/>
  <c r="M101" i="5"/>
  <c r="M15" i="5"/>
  <c r="M65" i="5"/>
  <c r="L88" i="5"/>
  <c r="N77" i="5"/>
  <c r="L55" i="5"/>
  <c r="N85" i="5"/>
  <c r="L49" i="5"/>
  <c r="M60" i="5"/>
  <c r="M82" i="5"/>
  <c r="L42" i="5"/>
  <c r="M81" i="5"/>
  <c r="N61" i="5"/>
  <c r="M49" i="5"/>
  <c r="N74" i="5"/>
  <c r="L70" i="5"/>
  <c r="N4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32" i="5"/>
  <c r="J23" i="5"/>
  <c r="J77" i="5"/>
  <c r="J44" i="5"/>
  <c r="J18" i="5"/>
  <c r="J42" i="5"/>
  <c r="J79" i="5"/>
  <c r="J20" i="5"/>
  <c r="J83" i="5"/>
  <c r="J39" i="5"/>
  <c r="J38" i="5"/>
  <c r="J66" i="5"/>
  <c r="J40" i="5"/>
  <c r="J67" i="5"/>
  <c r="J9" i="5"/>
  <c r="J93" i="5"/>
  <c r="J29" i="5"/>
  <c r="J25" i="5"/>
  <c r="J82" i="5"/>
  <c r="J91" i="5"/>
  <c r="J70" i="5"/>
  <c r="J5" i="5"/>
  <c r="J55" i="5"/>
  <c r="J97" i="5"/>
  <c r="J27" i="5"/>
  <c r="J95" i="5"/>
  <c r="J26" i="5"/>
  <c r="J98" i="5"/>
  <c r="J64" i="5"/>
  <c r="J51" i="5"/>
  <c r="J60" i="5"/>
  <c r="J21" i="5"/>
  <c r="J74" i="5"/>
  <c r="J41" i="5"/>
  <c r="J30" i="5"/>
  <c r="J43" i="5"/>
  <c r="J46" i="5"/>
  <c r="J72" i="5"/>
  <c r="J2" i="5"/>
  <c r="J50" i="5"/>
  <c r="J28" i="5"/>
  <c r="J88" i="5"/>
  <c r="J10" i="5"/>
  <c r="J76" i="5"/>
  <c r="J68" i="5"/>
  <c r="J19" i="5"/>
  <c r="J48" i="5"/>
  <c r="J101" i="5"/>
  <c r="J85" i="5"/>
  <c r="J14" i="5"/>
  <c r="J37" i="5"/>
  <c r="J65" i="5"/>
  <c r="J56" i="5"/>
  <c r="J57" i="5"/>
  <c r="J45" i="5"/>
  <c r="J96" i="5"/>
  <c r="J86" i="5"/>
  <c r="J100" i="5"/>
  <c r="J47" i="5"/>
  <c r="J22" i="5"/>
  <c r="J13" i="5"/>
  <c r="J31" i="5"/>
  <c r="J94" i="5"/>
  <c r="J89" i="5"/>
  <c r="J69" i="5"/>
  <c r="J53" i="5"/>
  <c r="J24" i="5"/>
  <c r="J81" i="5"/>
  <c r="J59" i="5"/>
  <c r="J6" i="5"/>
  <c r="J63" i="5"/>
  <c r="J78" i="5"/>
  <c r="J49" i="5"/>
  <c r="J99" i="5"/>
  <c r="J80" i="5"/>
  <c r="J92" i="5"/>
  <c r="J4" i="5"/>
  <c r="J75" i="5"/>
  <c r="J3" i="5"/>
  <c r="J87" i="5"/>
  <c r="J71" i="5"/>
  <c r="J61" i="5"/>
  <c r="J15" i="5"/>
  <c r="J33" i="5"/>
  <c r="J84" i="5"/>
  <c r="J62" i="5"/>
  <c r="J73" i="5"/>
  <c r="J12" i="5"/>
  <c r="J35" i="5"/>
  <c r="J52" i="5"/>
  <c r="J36" i="5"/>
  <c r="J8" i="5"/>
  <c r="J16" i="5"/>
  <c r="J7" i="5"/>
  <c r="J90" i="5"/>
  <c r="J58" i="5"/>
  <c r="J34" i="5"/>
  <c r="J54" i="5"/>
  <c r="J17" i="5"/>
  <c r="J11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62" i="5"/>
  <c r="G78" i="5"/>
  <c r="G52" i="5"/>
  <c r="G3" i="5"/>
  <c r="G97" i="5"/>
  <c r="G65" i="5"/>
  <c r="G48" i="5"/>
  <c r="G8" i="5"/>
  <c r="G36" i="5"/>
  <c r="G63" i="5"/>
  <c r="G23" i="5"/>
  <c r="G87" i="5"/>
  <c r="G7" i="5"/>
  <c r="G51" i="5"/>
  <c r="G94" i="5"/>
  <c r="G10" i="5"/>
  <c r="G71" i="5"/>
  <c r="G68" i="5"/>
  <c r="G64" i="5"/>
  <c r="G96" i="5"/>
  <c r="G70" i="5"/>
  <c r="G82" i="5"/>
  <c r="G57" i="5"/>
  <c r="G46" i="5"/>
  <c r="G4" i="5"/>
  <c r="G33" i="5"/>
  <c r="G60" i="5"/>
  <c r="G69" i="5"/>
  <c r="G53" i="5"/>
  <c r="G6" i="5"/>
  <c r="G75" i="5"/>
  <c r="G28" i="5"/>
  <c r="G67" i="5"/>
  <c r="G73" i="5"/>
  <c r="G18" i="5"/>
  <c r="G9" i="5"/>
  <c r="G89" i="5"/>
  <c r="G16" i="5"/>
  <c r="G5" i="5"/>
  <c r="G84" i="5"/>
  <c r="G83" i="5"/>
  <c r="G27" i="5"/>
  <c r="G86" i="5"/>
  <c r="G25" i="5"/>
  <c r="G93" i="5"/>
  <c r="G54" i="5"/>
  <c r="G66" i="5"/>
  <c r="G40" i="5"/>
  <c r="G42" i="5"/>
  <c r="G59" i="5"/>
  <c r="G91" i="5"/>
  <c r="G90" i="5"/>
  <c r="G45" i="5"/>
  <c r="G88" i="5"/>
  <c r="G13" i="5"/>
  <c r="G92" i="5"/>
  <c r="G49" i="5"/>
  <c r="G81" i="5"/>
  <c r="G58" i="5"/>
  <c r="G29" i="5"/>
  <c r="G99" i="5"/>
  <c r="G24" i="5"/>
  <c r="G17" i="5"/>
  <c r="G56" i="5"/>
  <c r="G35" i="5"/>
  <c r="G12" i="5"/>
  <c r="G61" i="5"/>
  <c r="G43" i="5"/>
  <c r="G79" i="5"/>
  <c r="G101" i="5"/>
  <c r="G39" i="5"/>
  <c r="G77" i="5"/>
  <c r="G76" i="5"/>
  <c r="G11" i="5"/>
  <c r="G30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1" i="5"/>
  <c r="G98" i="5"/>
  <c r="G38" i="5"/>
  <c r="G22" i="5"/>
  <c r="G15" i="5"/>
  <c r="G55" i="5"/>
  <c r="G47" i="5"/>
  <c r="G37" i="5"/>
  <c r="G80" i="5"/>
  <c r="G85" i="5"/>
  <c r="G44" i="5"/>
  <c r="G26" i="5"/>
  <c r="G20" i="5"/>
  <c r="G72" i="5"/>
  <c r="G74" i="5"/>
  <c r="G14" i="5"/>
  <c r="G32" i="5"/>
  <c r="G41" i="5"/>
  <c r="G19" i="5"/>
  <c r="G50" i="5"/>
  <c r="G2" i="5"/>
  <c r="G34" i="5"/>
  <c r="G95" i="5"/>
  <c r="G100" i="5"/>
  <c r="G2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64" i="5"/>
  <c r="F74" i="5"/>
  <c r="F51" i="5"/>
  <c r="F3" i="5"/>
  <c r="F7" i="5"/>
  <c r="F6" i="5"/>
  <c r="F99" i="5"/>
  <c r="F88" i="5"/>
  <c r="F97" i="5"/>
  <c r="F40" i="5"/>
  <c r="F70" i="5"/>
  <c r="F53" i="5"/>
  <c r="F94" i="5"/>
  <c r="F55" i="5"/>
  <c r="F43" i="5"/>
  <c r="F56" i="5"/>
  <c r="F72" i="5"/>
  <c r="F14" i="5"/>
  <c r="F2" i="5"/>
  <c r="F11" i="5"/>
  <c r="F4" i="5"/>
  <c r="F29" i="5"/>
  <c r="F48" i="5"/>
  <c r="F71" i="5"/>
  <c r="F35" i="5"/>
  <c r="F83" i="5"/>
  <c r="F66" i="5"/>
  <c r="F30" i="5"/>
  <c r="F77" i="5"/>
  <c r="F45" i="5"/>
  <c r="F69" i="5"/>
  <c r="F41" i="5"/>
  <c r="F12" i="5"/>
  <c r="F54" i="5"/>
  <c r="F10" i="5"/>
  <c r="F57" i="5"/>
  <c r="F32" i="5"/>
  <c r="F87" i="5"/>
  <c r="F84" i="5"/>
  <c r="F22" i="5"/>
  <c r="F46" i="5"/>
  <c r="F80" i="5"/>
  <c r="F86" i="5"/>
  <c r="F24" i="5"/>
  <c r="F96" i="5"/>
  <c r="F26" i="5"/>
  <c r="F16" i="5"/>
  <c r="F37" i="5"/>
  <c r="F15" i="5"/>
  <c r="F93" i="5"/>
  <c r="F100" i="5"/>
  <c r="F79" i="5"/>
  <c r="F5" i="5"/>
  <c r="F92" i="5"/>
  <c r="F85" i="5"/>
  <c r="F9" i="5"/>
  <c r="F42" i="5"/>
  <c r="F21" i="5"/>
  <c r="F52" i="5"/>
  <c r="F73" i="5"/>
  <c r="F36" i="5"/>
  <c r="F61" i="5"/>
  <c r="F91" i="5"/>
  <c r="F59" i="5"/>
  <c r="F81" i="5"/>
  <c r="F23" i="5"/>
  <c r="F31" i="5"/>
  <c r="F17" i="5"/>
  <c r="F68" i="5"/>
  <c r="F8" i="5"/>
  <c r="F39" i="5"/>
  <c r="F19" i="5"/>
  <c r="F90" i="5"/>
  <c r="F82" i="5"/>
  <c r="F18" i="5"/>
  <c r="F25" i="5"/>
  <c r="F67" i="5"/>
  <c r="F50" i="5"/>
  <c r="F58" i="5"/>
  <c r="F76" i="5"/>
  <c r="F62" i="5"/>
  <c r="F49" i="5"/>
  <c r="F13" i="5"/>
  <c r="F27" i="5"/>
  <c r="F63" i="5"/>
  <c r="F38" i="5"/>
  <c r="F33" i="5"/>
  <c r="F20" i="5"/>
  <c r="F34" i="5"/>
  <c r="F89" i="5"/>
  <c r="F95" i="5"/>
  <c r="F60" i="5"/>
  <c r="F101" i="5"/>
  <c r="F78" i="5"/>
  <c r="F47" i="5"/>
  <c r="F28" i="5"/>
  <c r="F75" i="5"/>
  <c r="F65" i="5"/>
  <c r="F98" i="5"/>
  <c r="F44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24" i="5"/>
  <c r="H93" i="5"/>
  <c r="H84" i="5"/>
  <c r="H48" i="5"/>
  <c r="H74" i="5"/>
  <c r="H55" i="5"/>
  <c r="H98" i="5"/>
  <c r="H39" i="5"/>
  <c r="H10" i="5"/>
  <c r="H61" i="5"/>
  <c r="H14" i="5"/>
  <c r="H68" i="5"/>
  <c r="H16" i="5"/>
  <c r="H3" i="5"/>
  <c r="H90" i="5"/>
  <c r="H38" i="5"/>
  <c r="H73" i="5"/>
  <c r="H40" i="5"/>
  <c r="H12" i="5"/>
  <c r="H26" i="5"/>
  <c r="H97" i="5"/>
  <c r="H36" i="5"/>
  <c r="H78" i="5"/>
  <c r="H56" i="5"/>
  <c r="H86" i="5"/>
  <c r="H29" i="5"/>
  <c r="H82" i="5"/>
  <c r="H42" i="5"/>
  <c r="H11" i="5"/>
  <c r="H99" i="5"/>
  <c r="H41" i="5"/>
  <c r="H32" i="5"/>
  <c r="H100" i="5"/>
  <c r="H20" i="5"/>
  <c r="H79" i="5"/>
  <c r="H87" i="5"/>
  <c r="H15" i="5"/>
  <c r="H66" i="5"/>
  <c r="H76" i="5"/>
  <c r="H85" i="5"/>
  <c r="H64" i="5"/>
  <c r="H71" i="5"/>
  <c r="H80" i="5"/>
  <c r="H17" i="5"/>
  <c r="H2" i="5"/>
  <c r="H62" i="5"/>
  <c r="H53" i="5"/>
  <c r="H34" i="5"/>
  <c r="H91" i="5"/>
  <c r="H81" i="5"/>
  <c r="H52" i="5"/>
  <c r="H83" i="5"/>
  <c r="H47" i="5"/>
  <c r="H43" i="5"/>
  <c r="H21" i="5"/>
  <c r="H94" i="5"/>
  <c r="H7" i="5"/>
  <c r="H19" i="5"/>
  <c r="H30" i="5"/>
  <c r="H5" i="5"/>
  <c r="H37" i="5"/>
  <c r="H33" i="5"/>
  <c r="H75" i="5"/>
  <c r="H54" i="5"/>
  <c r="H67" i="5"/>
  <c r="H50" i="5"/>
  <c r="H65" i="5"/>
  <c r="H28" i="5"/>
  <c r="H22" i="5"/>
  <c r="H8" i="5"/>
  <c r="H45" i="5"/>
  <c r="H51" i="5"/>
  <c r="H49" i="5"/>
  <c r="H77" i="5"/>
  <c r="H27" i="5"/>
  <c r="H101" i="5"/>
  <c r="H46" i="5"/>
  <c r="H60" i="5"/>
  <c r="H59" i="5"/>
  <c r="H9" i="5"/>
  <c r="H4" i="5"/>
  <c r="H96" i="5"/>
  <c r="H57" i="5"/>
  <c r="H25" i="5"/>
  <c r="H92" i="5"/>
  <c r="H63" i="5"/>
  <c r="H58" i="5"/>
  <c r="H69" i="5"/>
  <c r="H18" i="5"/>
  <c r="H95" i="5"/>
  <c r="H44" i="5"/>
  <c r="H23" i="5"/>
  <c r="H88" i="5"/>
  <c r="H31" i="5"/>
  <c r="H35" i="5"/>
  <c r="H70" i="5"/>
  <c r="H6" i="5"/>
  <c r="H89" i="5"/>
  <c r="H72" i="5"/>
  <c r="H13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73" i="5"/>
  <c r="I79" i="5"/>
  <c r="I88" i="5"/>
  <c r="I93" i="5"/>
  <c r="I15" i="5"/>
  <c r="I54" i="5"/>
  <c r="I64" i="5"/>
  <c r="I34" i="5"/>
  <c r="I47" i="5"/>
  <c r="I25" i="5"/>
  <c r="I33" i="5"/>
  <c r="I49" i="5"/>
  <c r="I42" i="5"/>
  <c r="I30" i="5"/>
  <c r="I7" i="5"/>
  <c r="I58" i="5"/>
  <c r="I57" i="5"/>
  <c r="I52" i="5"/>
  <c r="I44" i="5"/>
  <c r="I46" i="5"/>
  <c r="I17" i="5"/>
  <c r="I29" i="5"/>
  <c r="I95" i="5"/>
  <c r="I27" i="5"/>
  <c r="I16" i="5"/>
  <c r="I62" i="5"/>
  <c r="I97" i="5"/>
  <c r="I38" i="5"/>
  <c r="I41" i="5"/>
  <c r="I77" i="5"/>
  <c r="I14" i="5"/>
  <c r="I10" i="5"/>
  <c r="I23" i="5"/>
  <c r="I87" i="5"/>
  <c r="I18" i="5"/>
  <c r="I68" i="5"/>
  <c r="I21" i="5"/>
  <c r="I51" i="5"/>
  <c r="I84" i="5"/>
  <c r="I67" i="5"/>
  <c r="I40" i="5"/>
  <c r="I94" i="5"/>
  <c r="I60" i="5"/>
  <c r="I8" i="5"/>
  <c r="I92" i="5"/>
  <c r="I78" i="5"/>
  <c r="I5" i="5"/>
  <c r="I56" i="5"/>
  <c r="I24" i="5"/>
  <c r="I99" i="5"/>
  <c r="I83" i="5"/>
  <c r="I70" i="5"/>
  <c r="I85" i="5"/>
  <c r="I35" i="5"/>
  <c r="I28" i="5"/>
  <c r="I19" i="5"/>
  <c r="I61" i="5"/>
  <c r="I72" i="5"/>
  <c r="I75" i="5"/>
  <c r="I31" i="5"/>
  <c r="I100" i="5"/>
  <c r="I63" i="5"/>
  <c r="I74" i="5"/>
  <c r="I22" i="5"/>
  <c r="I4" i="5"/>
  <c r="I50" i="5"/>
  <c r="I9" i="5"/>
  <c r="I39" i="5"/>
  <c r="I89" i="5"/>
  <c r="I3" i="5"/>
  <c r="I80" i="5"/>
  <c r="I32" i="5"/>
  <c r="I20" i="5"/>
  <c r="I45" i="5"/>
  <c r="I86" i="5"/>
  <c r="I91" i="5"/>
  <c r="I69" i="5"/>
  <c r="I65" i="5"/>
  <c r="I71" i="5"/>
  <c r="I90" i="5"/>
  <c r="I26" i="5"/>
  <c r="I6" i="5"/>
  <c r="I96" i="5"/>
  <c r="I12" i="5"/>
  <c r="I48" i="5"/>
  <c r="I43" i="5"/>
  <c r="I101" i="5"/>
  <c r="I98" i="5"/>
  <c r="I2" i="5"/>
  <c r="I59" i="5"/>
  <c r="I13" i="5"/>
  <c r="I82" i="5"/>
  <c r="I55" i="5"/>
  <c r="I37" i="5"/>
  <c r="I53" i="5"/>
  <c r="I66" i="5"/>
  <c r="I81" i="5"/>
  <c r="I11" i="5"/>
  <c r="I36" i="5"/>
  <c r="I76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91" i="5"/>
  <c r="E66" i="5"/>
  <c r="E60" i="5"/>
  <c r="E68" i="5"/>
  <c r="E34" i="5"/>
  <c r="E81" i="5"/>
  <c r="E14" i="5"/>
  <c r="E4" i="5"/>
  <c r="E48" i="5"/>
  <c r="E83" i="5"/>
  <c r="E12" i="5"/>
  <c r="E20" i="5"/>
  <c r="E3" i="5"/>
  <c r="E82" i="5"/>
  <c r="E69" i="5"/>
  <c r="E56" i="5"/>
  <c r="E88" i="5"/>
  <c r="E44" i="5"/>
  <c r="E19" i="5"/>
  <c r="E57" i="5"/>
  <c r="E21" i="5"/>
  <c r="E93" i="5"/>
  <c r="E92" i="5"/>
  <c r="E18" i="5"/>
  <c r="E94" i="5"/>
  <c r="E100" i="5"/>
  <c r="E47" i="5"/>
  <c r="E64" i="5"/>
  <c r="E42" i="5"/>
  <c r="E101" i="5"/>
  <c r="E31" i="5"/>
  <c r="E73" i="5"/>
  <c r="E2" i="5"/>
  <c r="E39" i="5"/>
  <c r="E85" i="5"/>
  <c r="E41" i="5"/>
  <c r="E32" i="5"/>
  <c r="E7" i="5"/>
  <c r="E9" i="5"/>
  <c r="E67" i="5"/>
  <c r="E5" i="5"/>
  <c r="E77" i="5"/>
  <c r="E70" i="5"/>
  <c r="E71" i="5"/>
  <c r="E72" i="5"/>
  <c r="E30" i="5"/>
  <c r="E90" i="5"/>
  <c r="E86" i="5"/>
  <c r="E65" i="5"/>
  <c r="E97" i="5"/>
  <c r="E24" i="5"/>
  <c r="E46" i="5"/>
  <c r="E35" i="5"/>
  <c r="E17" i="5"/>
  <c r="E29" i="5"/>
  <c r="E6" i="5"/>
  <c r="E49" i="5"/>
  <c r="E63" i="5"/>
  <c r="E10" i="5"/>
  <c r="E38" i="5"/>
  <c r="E61" i="5"/>
  <c r="E45" i="5"/>
  <c r="E13" i="5"/>
  <c r="E89" i="5"/>
  <c r="E84" i="5"/>
  <c r="E87" i="5"/>
  <c r="E16" i="5"/>
  <c r="E59" i="5"/>
  <c r="E28" i="5"/>
  <c r="E98" i="5"/>
  <c r="E75" i="5"/>
  <c r="E78" i="5"/>
  <c r="E15" i="5"/>
  <c r="E52" i="5"/>
  <c r="E25" i="5"/>
  <c r="E51" i="5"/>
  <c r="E27" i="5"/>
  <c r="E36" i="5"/>
  <c r="E76" i="5"/>
  <c r="E80" i="5"/>
  <c r="E43" i="5"/>
  <c r="E53" i="5"/>
  <c r="E23" i="5"/>
  <c r="E50" i="5"/>
  <c r="E40" i="5"/>
  <c r="E33" i="5"/>
  <c r="E8" i="5"/>
  <c r="E55" i="5"/>
  <c r="E79" i="5"/>
  <c r="E58" i="5"/>
  <c r="E62" i="5"/>
  <c r="E26" i="5"/>
  <c r="E22" i="5"/>
  <c r="E74" i="5"/>
  <c r="E11" i="5"/>
  <c r="E96" i="5"/>
  <c r="E95" i="5"/>
  <c r="E99" i="5"/>
  <c r="E37" i="5"/>
  <c r="E54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<sst xmlns="http://schemas.openxmlformats.org/spreadsheetml/2006/main" count="324" uniqueCount="251">
  <si>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</si>
  <si>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</si>
  <si>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</si>
  <si>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</si>
  <si>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</si>
  <si>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</si>
  <si>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</si>
  <si>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</si>
  <si>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</si>
  <si>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</si>
  <si>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</si>
  <si>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</si>
  <si>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</si>
  <si>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</si>
  <si>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</si>
  <si>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</si>
  <si>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</si>
  <si>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</si>
  <si>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</si>
  <si>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</si>
  <si>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</si>
  <si>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</si>
  <si>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</si>
  <si>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</si>
  <si>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</si>
  <si>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</si>
  <si>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</si>
  <si>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</si>
  <si>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</si>
  <si>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</si>
  <si>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</si>
  <si>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</si>
  <si>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</si>
  <si>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</si>
  <si>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</si>
  <si>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</si>
  <si>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</si>
  <si>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</si>
  <si>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</si>
  <si>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</si>
  <si>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</si>
  <si>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</si>
  <si>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</si>
  <si>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</si>
  <si>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</si>
  <si>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</si>
  <si>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</si>
  <si>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</si>
  <si>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</si>
  <si>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</si>
  <si>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</si>
  <si>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</si>
  <si>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</si>
  <si>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</si>
  <si>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</si>
  <si>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</si>
  <si>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</si>
  <si>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</si>
  <si>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</si>
  <si>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</si>
  <si>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</si>
  <si>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</si>
  <si>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</si>
  <si>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</si>
  <si>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</si>
  <si>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</si>
  <si>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</si>
  <si>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</si>
  <si>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</si>
  <si>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</si>
  <si>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</si>
  <si>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</si>
  <si>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</si>
  <si>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</si>
  <si>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</si>
  <si>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</si>
  <si>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</si>
  <si>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</si>
  <si>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</si>
  <si>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</si>
  <si>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</si>
  <si>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</si>
  <si>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</si>
  <si>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</si>
  <si>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</si>
  <si>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</si>
  <si>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</si>
  <si>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</si>
  <si>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</si>
  <si>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</si>
  <si>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</si>
  <si>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</si>
  <si>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</si>
  <si>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</si>
  <si>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</si>
  <si>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</si>
  <si>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</si>
  <si>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</si>
  <si>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</si>
  <si>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</si>
  <si>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</si>
  <si>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</si>
  <si>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</si>
  <si>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</si>
  <si>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</si>
  <si>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</si>
  <si>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</si>
  <si>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</si>
  <si>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</si>
  <si>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</si>
  <si>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</si>
  <si>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</si>
  <si>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</si>
  <si>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</si>
  <si>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</si>
  <si>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</si>
  <si>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</si>
  <si>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</si>
  <si>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</si>
  <si>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</si>
  <si>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</si>
  <si>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</si>
  <si>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</si>
  <si>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</si>
  <si>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</si>
  <si>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</si>
  <si>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</si>
  <si>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</si>
  <si>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</si>
  <si>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</si>
  <si>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</si>
  <si>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</si>
  <si>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</si>
  <si>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</si>
  <si>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</si>
  <si>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</si>
  <si>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</si>
  <si>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</si>
  <si>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</si>
  <si>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</si>
  <si>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</si>
  <si>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</si>
  <si>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</si>
  <si>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</si>
  <si>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</si>
  <si>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</si>
  <si>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</si>
  <si>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</si>
  <si>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</si>
  <si>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</si>
  <si>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</si>
  <si>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</si>
  <si>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</si>
  <si>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</si>
  <si>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</si>
  <si>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</si>
  <si>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</si>
  <si>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</si>
  <si>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</si>
  <si>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</si>
  <si>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</si>
  <si>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</si>
  <si>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</si>
  <si>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</si>
  <si>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</si>
  <si>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</si>
  <si>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</si>
  <si>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</si>
  <si>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</si>
  <si>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</si>
  <si>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</si>
  <si>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</si>
  <si>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</si>
  <si>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</si>
  <si>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</si>
  <si>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</si>
  <si>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</si>
  <si>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</si>
  <si>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</si>
  <si>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</si>
  <si>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</si>
  <si>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</si>
  <si>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</si>
  <si>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</si>
  <si>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</si>
  <si>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</si>
  <si>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</si>
  <si>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</si>
  <si>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</si>
  <si>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</si>
  <si>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</si>
  <si>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</si>
  <si>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</si>
  <si>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</si>
  <si>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</si>
  <si>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</si>
  <si>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</si>
  <si>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</si>
  <si>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</si>
  <si>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</si>
  <si>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</si>
  <si>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</si>
  <si>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</si>
  <si>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</si>
  <si>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</si>
  <si>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</si>
  <si>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</si>
  <si>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</si>
  <si>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</si>
  <si>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</si>
  <si>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</si>
  <si>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</si>
  <si>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</si>
  <si>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</si>
  <si>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</si>
  <si>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Jose Leiton</t>
  </si>
  <si>
    <t>Desarrollar el formulario web de login y la verificación segura de credenciales.</t>
  </si>
  <si>
    <t>Implementar la interfaz de solicitud de cambio de clave por correo electrónico.</t>
  </si>
  <si>
    <t>Crear la lógica de asignación de privilegios y roles de usuario.</t>
  </si>
  <si>
    <t>Stiven Díaz</t>
  </si>
  <si>
    <t>Gabriel Manosalvas</t>
  </si>
  <si>
    <t>Desarrollar la carga masiva de usuarios desde un archivo Excel.</t>
  </si>
  <si>
    <t>Implementar una tabla para listar y buscar residentes activos.</t>
  </si>
  <si>
    <t>Desarrollar la opción para exportar el listado de residentes a PDF y Excel.</t>
  </si>
  <si>
    <t>Crear el formulario para editar los campos de datos del copropietario.</t>
  </si>
  <si>
    <t>Implementar la funcionalidad para dar de baja o eliminar un copropietario.</t>
  </si>
  <si>
    <t>Desarrollar la interfaz para que el residente realice su pago de expensa.</t>
  </si>
  <si>
    <t>Crear el panel de revisión para aprobar o rechazar transacciones recibidas.</t>
  </si>
  <si>
    <t>Programar el cálculo automático del 12% de recargo por mora en cuotas vencidas.</t>
  </si>
  <si>
    <t>Integrar la generación dinámica del comprobante de pago aprobado en formato PDF.</t>
  </si>
  <si>
    <t>RF001</t>
  </si>
  <si>
    <t>RF001-1</t>
  </si>
  <si>
    <t>RF001-2</t>
  </si>
  <si>
    <t>RF001-3</t>
  </si>
  <si>
    <t>RF002</t>
  </si>
  <si>
    <t>RF002-1</t>
  </si>
  <si>
    <t>RF002-2</t>
  </si>
  <si>
    <t>RF002-3</t>
  </si>
  <si>
    <t>RF002-4</t>
  </si>
  <si>
    <t>RF002-5</t>
  </si>
  <si>
    <t>RF003</t>
  </si>
  <si>
    <t>RF003-1</t>
  </si>
  <si>
    <t>RF003-2</t>
  </si>
  <si>
    <t>RF003-3</t>
  </si>
  <si>
    <t>RF003-4</t>
  </si>
  <si>
    <t>RF004</t>
  </si>
  <si>
    <t>EN REVISIÓN</t>
  </si>
  <si>
    <t>Administrar Sistema</t>
  </si>
  <si>
    <t>Gestionar Copropietarios</t>
  </si>
  <si>
    <t>Implementar Pagos</t>
  </si>
  <si>
    <t>Enviar Notificaciones por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</si>
</sst>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horizontal="right" vertical="center"/>
      <protection locked="0"/>
    </xf>
    <xf numFmtId="14" fontId="0" fillId="0" borderId="37" xfId="0" applyNumberFormat="1" applyBorder="1" applyAlignment="1" applyProtection="1">
      <alignment horizontal="right" vertical="center"/>
      <protection locked="0"/>
    </xf>
    <xf numFmtId="14" fontId="0" fillId="18" borderId="37" xfId="0" applyNumberFormat="1" applyFill="1" applyBorder="1" applyAlignment="1" applyProtection="1">
      <alignment horizontal="right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R1" zoomScaleNormal="100" workbookViewId="0">
      <pane ySplit="4" topLeftCell="A5" activePane="bottomLeft" state="frozen"/>
      <selection pane="bottomLeft" activeCell="S11" sqref="S11:T11"/>
    </sheetView>
  </sheetViews>
  <sheetFormatPr baseColWidth="10" defaultColWidth="0" defaultRowHeight="15" zeroHeight="1" x14ac:dyDescent="0.2"/>
  <cols>
    <col min="1" max="2" width="2.5" style="2" customWidth="1"/>
    <col min="3" max="3" width="10.5" style="12" customWidth="1"/>
    <col min="4" max="5" width="15.5" style="12" customWidth="1"/>
    <col min="6" max="7" width="2.5" style="2" customWidth="1"/>
    <col min="8" max="8" width="10.5" style="12" customWidth="1"/>
    <col min="9" max="10" width="15.5" style="12" customWidth="1"/>
    <col min="11" max="12" width="2.5" style="2" customWidth="1"/>
    <col min="13" max="13" width="10.5" style="12" customWidth="1"/>
    <col min="14" max="15" width="15.5" style="12" customWidth="1"/>
    <col min="16" max="17" width="2.5" style="2" customWidth="1"/>
    <col min="18" max="18" width="10.5" style="12" customWidth="1"/>
    <col min="19" max="20" width="15.5" style="12" customWidth="1"/>
    <col min="21" max="22" width="2.5" style="2" customWidth="1"/>
    <col min="23" max="23" width="10.5" style="12" customWidth="1"/>
    <col min="24" max="25" width="15.5" style="12" customWidth="1"/>
    <col min="26" max="27" width="2.5" style="2" customWidth="1"/>
    <col min="28" max="28" width="10.5" style="12" customWidth="1"/>
    <col min="29" max="30" width="15.5" style="12" customWidth="1"/>
    <col min="31" max="32" width="2.5" style="2" customWidth="1"/>
    <col min="33" max="33" width="10.5" style="12" customWidth="1"/>
    <col min="34" max="35" width="15.5" style="12" customWidth="1"/>
    <col min="36" max="37" width="2.5" style="2" customWidth="1"/>
    <col min="38" max="38" width="10.5" style="12" customWidth="1"/>
    <col min="39" max="40" width="15.5" style="12" customWidth="1"/>
    <col min="41" max="42" width="2.5" style="2" customWidth="1"/>
    <col min="43" max="43" width="10.5" style="12" customWidth="1"/>
    <col min="44" max="45" width="15.5" style="12" customWidth="1"/>
    <col min="46" max="47" width="2.5" style="2" customWidth="1"/>
    <col min="48" max="48" width="10.5" style="12" customWidth="1"/>
    <col min="49" max="50" width="15.5" style="12" customWidth="1"/>
    <col min="51" max="52" width="2.5" style="2" customWidth="1"/>
    <col min="53" max="16384" width="10.6640625" style="2" hidden="1"/>
  </cols>
  <sheetData>
    <row r="1" spans="2:51" ht="16" thickBot="1" x14ac:dyDescent="0.25"/>
    <row r="2" spans="2:51" ht="16" thickBot="1" x14ac:dyDescent="0.2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/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6" thickBot="1" x14ac:dyDescent="0.25"/>
    <row r="4" spans="2:51" ht="22" thickBot="1" x14ac:dyDescent="0.25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(0 de 16)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(0 de 16)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16)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(16 de 16)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16)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16)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16)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>EN REVISIÓN (0 de 16)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16)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16)</v>
      </c>
      <c r="AW4" s="107"/>
      <c r="AX4" s="107"/>
      <c r="AY4" s="10" t="s">
        <v>0</v>
      </c>
    </row>
    <row r="5" spans="2:51" ht="16" thickTop="1" x14ac:dyDescent="0.2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5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5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16:</v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RF004</v>
      </c>
      <c r="T6" s="105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5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5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5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Enviar Notificaciones por WhatsApp</v>
      </c>
      <c r="T7" s="105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5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5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5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5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5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5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46209</v>
      </c>
      <c r="T8" s="105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5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5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5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5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5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5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5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46213</v>
      </c>
      <c r="T9" s="105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5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5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5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5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5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5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5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46213</v>
      </c>
      <c r="T10" s="105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5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5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5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5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5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5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5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5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5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5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Jose Leiton</v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5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5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15:</v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RF003-4</v>
      </c>
      <c r="T15" s="105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5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5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5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Integrar la generación dinámica del comprobante de pago aprobado en formato PDF.</v>
      </c>
      <c r="T16" s="105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5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5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5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5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5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5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46202</v>
      </c>
      <c r="T17" s="105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5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5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5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5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5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5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5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46206</v>
      </c>
      <c r="T18" s="105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5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5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5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5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5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5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5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46206</v>
      </c>
      <c r="T19" s="105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5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5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5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5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5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5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5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5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Stiven Díaz</v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14:</v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RF003-3</v>
      </c>
      <c r="T24" s="105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5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Programar el cálculo automático del 12% de recargo por mora en cuotas vencidas.</v>
      </c>
      <c r="T25" s="105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5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5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46202</v>
      </c>
      <c r="T26" s="105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5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5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5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46206</v>
      </c>
      <c r="T27" s="105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5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5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5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46206</v>
      </c>
      <c r="T28" s="105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5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5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5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5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5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5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Stiven Díaz</v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13:</v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RF003-2</v>
      </c>
      <c r="T33" s="105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5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Crear el panel de revisión para aprobar o rechazar transacciones recibidas.</v>
      </c>
      <c r="T34" s="105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5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5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46202</v>
      </c>
      <c r="T35" s="105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5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5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5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46206</v>
      </c>
      <c r="T36" s="105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5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5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5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46206</v>
      </c>
      <c r="T37" s="105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5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5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5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5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5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5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Stiven Díaz</v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12:</v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RF003-1</v>
      </c>
      <c r="T42" s="105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5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la interfaz para que el residente realice su pago de expensa.</v>
      </c>
      <c r="T43" s="105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5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5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46202</v>
      </c>
      <c r="T44" s="105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5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5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5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46206</v>
      </c>
      <c r="T45" s="105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5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5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5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46206</v>
      </c>
      <c r="T46" s="105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5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5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5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5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5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5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Stiven Díaz</v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11:</v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RF003</v>
      </c>
      <c r="T51" s="105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5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Implementar Pagos</v>
      </c>
      <c r="T52" s="105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5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5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46202</v>
      </c>
      <c r="T53" s="105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5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5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5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46206</v>
      </c>
      <c r="T54" s="105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5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5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5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46206</v>
      </c>
      <c r="T55" s="105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5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5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5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5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5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5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Stiven Díaz</v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10:</v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RF002-5</v>
      </c>
      <c r="T60" s="105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5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Implementar la funcionalidad para dar de baja o eliminar un copropietario.</v>
      </c>
      <c r="T61" s="105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5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5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46188</v>
      </c>
      <c r="T62" s="105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5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5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5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46199</v>
      </c>
      <c r="T63" s="105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5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5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5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46199</v>
      </c>
      <c r="T64" s="105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5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5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12 días</v>
      </c>
      <c r="T65" s="105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5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5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5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Gabriel Manosalvas</v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9:</v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RF002-4</v>
      </c>
      <c r="T69" s="105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5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Crear el formulario para editar los campos de datos del copropietario.</v>
      </c>
      <c r="T70" s="105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5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5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46188</v>
      </c>
      <c r="T71" s="105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5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5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5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46199</v>
      </c>
      <c r="T72" s="105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5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5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5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46199</v>
      </c>
      <c r="T73" s="105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5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5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12 días</v>
      </c>
      <c r="T74" s="105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5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5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5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Gabriel Manosalvas</v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8:</v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RF002-3</v>
      </c>
      <c r="T78" s="105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5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Desarrollar la opción para exportar el listado de residentes a PDF y Excel.</v>
      </c>
      <c r="T79" s="105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5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5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46188</v>
      </c>
      <c r="T80" s="105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5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5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5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46199</v>
      </c>
      <c r="T81" s="105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5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5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5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46199</v>
      </c>
      <c r="T82" s="105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5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5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12 días</v>
      </c>
      <c r="T83" s="105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5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5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5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Gabriel Manosalvas</v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7:</v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RF002-2</v>
      </c>
      <c r="T87" s="105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5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Implementar una tabla para listar y buscar residentes activos.</v>
      </c>
      <c r="T88" s="105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5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5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46188</v>
      </c>
      <c r="T89" s="105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5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5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5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46199</v>
      </c>
      <c r="T90" s="105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5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5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5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46199</v>
      </c>
      <c r="T91" s="105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5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5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12 días</v>
      </c>
      <c r="T92" s="105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5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5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5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Gabriel Manosalvas</v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6:</v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RF002-1</v>
      </c>
      <c r="T96" s="105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5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Desarrollar la carga masiva de usuarios desde un archivo Excel.</v>
      </c>
      <c r="T97" s="105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5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5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46188</v>
      </c>
      <c r="T98" s="105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5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5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5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46199</v>
      </c>
      <c r="T99" s="105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5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5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5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46199</v>
      </c>
      <c r="T100" s="105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5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5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12 días</v>
      </c>
      <c r="T101" s="105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5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5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5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Gabriel Manosalvas</v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5:</v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RF002</v>
      </c>
      <c r="T105" s="105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5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Gestionar Copropietarios</v>
      </c>
      <c r="T106" s="105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5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5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46188</v>
      </c>
      <c r="T107" s="105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5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5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5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46199</v>
      </c>
      <c r="T108" s="105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5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5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5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46199</v>
      </c>
      <c r="T109" s="105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5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5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12 días</v>
      </c>
      <c r="T110" s="105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5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5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5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Gabriel Manosalvas</v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4:</v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RF001-3</v>
      </c>
      <c r="T114" s="105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5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Crear la lógica de asignación de privilegios y roles de usuario.</v>
      </c>
      <c r="T115" s="105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5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5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46188</v>
      </c>
      <c r="T116" s="105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5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5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5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46199</v>
      </c>
      <c r="T117" s="105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5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5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5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46199</v>
      </c>
      <c r="T118" s="105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5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5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12 días</v>
      </c>
      <c r="T119" s="105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5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5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5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Jose Leiton</v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3:</v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RF001-2</v>
      </c>
      <c r="T123" s="105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5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Implementar la interfaz de solicitud de cambio de clave por correo electrónico.</v>
      </c>
      <c r="T124" s="105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5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5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46174</v>
      </c>
      <c r="T125" s="105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5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5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5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46185</v>
      </c>
      <c r="T126" s="105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5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5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5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46185</v>
      </c>
      <c r="T127" s="105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5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5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12 días</v>
      </c>
      <c r="T128" s="105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5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5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5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Jose Leiton</v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2:</v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RF001-1</v>
      </c>
      <c r="T132" s="105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5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Desarrollar el formulario web de login y la verificación segura de credenciales.</v>
      </c>
      <c r="T133" s="105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5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5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46174</v>
      </c>
      <c r="T134" s="105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5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5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5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46185</v>
      </c>
      <c r="T135" s="105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5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5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5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46185</v>
      </c>
      <c r="T136" s="105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5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5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12 días</v>
      </c>
      <c r="T137" s="105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5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5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5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Jose Leiton</v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1:</v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RF001</v>
      </c>
      <c r="T141" s="105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Administrar Sistema</v>
      </c>
      <c r="T142" s="105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5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46174</v>
      </c>
      <c r="T143" s="105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5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46185</v>
      </c>
      <c r="T144" s="105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5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46185</v>
      </c>
      <c r="T145" s="105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12 días</v>
      </c>
      <c r="T146" s="105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5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Jose Leiton</v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5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5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5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5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5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5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5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5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5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5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5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5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5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5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5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5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5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5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5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5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5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5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5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5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5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5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5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5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5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5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5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5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5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5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5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5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5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5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5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5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5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5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5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5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5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5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5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5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5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5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5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5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5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5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5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5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5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5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5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6" thickBot="1" x14ac:dyDescent="0.2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85" workbookViewId="0">
      <pane ySplit="1" topLeftCell="A2" activePane="bottomLeft" state="frozen"/>
      <selection pane="bottomLeft" activeCell="D7" sqref="D7"/>
    </sheetView>
  </sheetViews>
  <sheetFormatPr baseColWidth="10" defaultColWidth="0" defaultRowHeight="15" zeroHeight="1" x14ac:dyDescent="0.2"/>
  <cols>
    <col min="1" max="1" width="15.5" style="3" customWidth="1"/>
    <col min="2" max="2" width="13.5" style="3" bestFit="1" customWidth="1"/>
    <col min="3" max="3" width="12.6640625" style="3" customWidth="1"/>
    <col min="4" max="4" width="64.83203125" style="3" customWidth="1"/>
    <col min="5" max="5" width="12.5" style="4" customWidth="1"/>
    <col min="6" max="6" width="14.1640625" style="4" bestFit="1" customWidth="1"/>
    <col min="7" max="8" width="12.5" style="4" customWidth="1"/>
    <col min="9" max="9" width="13.5" style="4" bestFit="1" customWidth="1"/>
    <col min="10" max="10" width="32.5" style="3" customWidth="1"/>
    <col min="11" max="11" width="10.6640625" style="3" customWidth="1"/>
    <col min="12" max="16384" width="10.6640625" style="2" hidden="1"/>
  </cols>
  <sheetData>
    <row r="1" spans="1:11" x14ac:dyDescent="0.2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16" x14ac:dyDescent="0.2">
      <c r="A2" s="91" t="s">
        <v>6</v>
      </c>
      <c r="B2" s="92" t="s">
        <v>3</v>
      </c>
      <c r="C2" s="100" t="s">
        <v>230</v>
      </c>
      <c r="D2" s="100" t="s">
        <v>247</v>
      </c>
      <c r="E2" s="102">
        <v>46174</v>
      </c>
      <c r="F2" s="102">
        <v>46185</v>
      </c>
      <c r="G2" s="102">
        <v>46185</v>
      </c>
      <c r="H2" s="43" t="str">
        <f>IF(Datos!$G2&gt;0,Datos!$G2-Datos!$E2+1 &amp; " " &amp; Idiomas!$A$29,"")</f>
        <v>12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16" x14ac:dyDescent="0.2">
      <c r="A3" s="91" t="s">
        <v>6</v>
      </c>
      <c r="B3" s="95" t="s">
        <v>3</v>
      </c>
      <c r="C3" s="95" t="s">
        <v>231</v>
      </c>
      <c r="D3" s="101" t="s">
        <v>216</v>
      </c>
      <c r="E3" s="102">
        <v>46174</v>
      </c>
      <c r="F3" s="102">
        <v>46185</v>
      </c>
      <c r="G3" s="102">
        <v>46185</v>
      </c>
      <c r="H3" s="45" t="str">
        <f>IF(Datos!$G3&gt;0,Datos!$G3-Datos!$E3+1 &amp; " " &amp; Idiomas!$A$29,"")</f>
        <v>12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6" x14ac:dyDescent="0.2">
      <c r="A4" s="91" t="s">
        <v>6</v>
      </c>
      <c r="B4" s="92" t="s">
        <v>3</v>
      </c>
      <c r="C4" s="92" t="s">
        <v>232</v>
      </c>
      <c r="D4" s="100" t="s">
        <v>217</v>
      </c>
      <c r="E4" s="102">
        <v>46174</v>
      </c>
      <c r="F4" s="102">
        <v>46185</v>
      </c>
      <c r="G4" s="102">
        <v>46185</v>
      </c>
      <c r="H4" s="43" t="str">
        <f>IF(Datos!$G4&gt;0,Datos!$G4-Datos!$E4+1 &amp; " " &amp; Idiomas!$A$29,"")</f>
        <v>12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">
      <c r="A5" s="91" t="s">
        <v>6</v>
      </c>
      <c r="B5" s="95" t="s">
        <v>3</v>
      </c>
      <c r="C5" s="95" t="s">
        <v>233</v>
      </c>
      <c r="D5" s="95" t="s">
        <v>218</v>
      </c>
      <c r="E5" s="102">
        <v>46188</v>
      </c>
      <c r="F5" s="102">
        <v>46199</v>
      </c>
      <c r="G5" s="102">
        <v>46199</v>
      </c>
      <c r="H5" s="45" t="str">
        <f>IF(Datos!$G5&gt;0,Datos!$G5-Datos!$E5+1 &amp; " " &amp; Idiomas!$A$29,"")</f>
        <v>12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">
      <c r="A6" s="91" t="s">
        <v>6</v>
      </c>
      <c r="B6" s="92" t="s">
        <v>3</v>
      </c>
      <c r="C6" s="92" t="s">
        <v>234</v>
      </c>
      <c r="D6" s="92" t="s">
        <v>248</v>
      </c>
      <c r="E6" s="102">
        <v>46188</v>
      </c>
      <c r="F6" s="102">
        <v>46199</v>
      </c>
      <c r="G6" s="102">
        <v>46199</v>
      </c>
      <c r="H6" s="43" t="str">
        <f>IF(Datos!$G6&gt;0,Datos!$G6-Datos!$E6+1 &amp; " " &amp; Idiomas!$A$29,"")</f>
        <v>12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">
      <c r="A7" s="91" t="s">
        <v>6</v>
      </c>
      <c r="B7" s="95" t="s">
        <v>3</v>
      </c>
      <c r="C7" s="95" t="s">
        <v>235</v>
      </c>
      <c r="D7" s="95" t="s">
        <v>221</v>
      </c>
      <c r="E7" s="102">
        <v>46188</v>
      </c>
      <c r="F7" s="102">
        <v>46199</v>
      </c>
      <c r="G7" s="102">
        <v>46199</v>
      </c>
      <c r="H7" s="45" t="str">
        <f>IF(Datos!$G7&gt;0,Datos!$G7-Datos!$E7+1 &amp; " " &amp; Idiomas!$A$29,"")</f>
        <v>12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2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">
      <c r="A8" s="91" t="s">
        <v>6</v>
      </c>
      <c r="B8" s="92" t="s">
        <v>3</v>
      </c>
      <c r="C8" s="92" t="s">
        <v>236</v>
      </c>
      <c r="D8" s="92" t="s">
        <v>222</v>
      </c>
      <c r="E8" s="102">
        <v>46188</v>
      </c>
      <c r="F8" s="102">
        <v>46199</v>
      </c>
      <c r="G8" s="102">
        <v>46199</v>
      </c>
      <c r="H8" s="43" t="str">
        <f>IF(Datos!$G8&gt;0,Datos!$G8-Datos!$E8+1 &amp; " " &amp; Idiomas!$A$29,"")</f>
        <v>12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">
      <c r="A9" s="91" t="s">
        <v>6</v>
      </c>
      <c r="B9" s="95" t="s">
        <v>3</v>
      </c>
      <c r="C9" s="95" t="s">
        <v>237</v>
      </c>
      <c r="D9" s="95" t="s">
        <v>223</v>
      </c>
      <c r="E9" s="102">
        <v>46188</v>
      </c>
      <c r="F9" s="102">
        <v>46199</v>
      </c>
      <c r="G9" s="102">
        <v>46199</v>
      </c>
      <c r="H9" s="45" t="str">
        <f>IF(Datos!$G9&gt;0,Datos!$G9-Datos!$E9+1 &amp; " " &amp; Idiomas!$A$29,"")</f>
        <v>12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2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">
      <c r="A10" s="91" t="s">
        <v>6</v>
      </c>
      <c r="B10" s="92" t="s">
        <v>3</v>
      </c>
      <c r="C10" s="92" t="s">
        <v>238</v>
      </c>
      <c r="D10" s="92" t="s">
        <v>224</v>
      </c>
      <c r="E10" s="102">
        <v>46188</v>
      </c>
      <c r="F10" s="102">
        <v>46199</v>
      </c>
      <c r="G10" s="102">
        <v>46199</v>
      </c>
      <c r="H10" s="43" t="str">
        <f>IF(Datos!$G10&gt;0,Datos!$G10-Datos!$E10+1 &amp; " " &amp; Idiomas!$A$29,"")</f>
        <v>12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">
      <c r="A11" s="91" t="s">
        <v>6</v>
      </c>
      <c r="B11" s="95" t="s">
        <v>3</v>
      </c>
      <c r="C11" s="95" t="s">
        <v>239</v>
      </c>
      <c r="D11" s="95" t="s">
        <v>225</v>
      </c>
      <c r="E11" s="102">
        <v>46188</v>
      </c>
      <c r="F11" s="102">
        <v>46199</v>
      </c>
      <c r="G11" s="102">
        <v>46199</v>
      </c>
      <c r="H11" s="45" t="str">
        <f>IF(Datos!$G11&gt;0,Datos!$G11-Datos!$E11+1 &amp; " " &amp; Idiomas!$A$29,"")</f>
        <v>12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2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">
      <c r="A12" s="91" t="s">
        <v>6</v>
      </c>
      <c r="B12" s="92" t="s">
        <v>3</v>
      </c>
      <c r="C12" s="92" t="s">
        <v>240</v>
      </c>
      <c r="D12" s="92" t="s">
        <v>249</v>
      </c>
      <c r="E12" s="104">
        <v>46202</v>
      </c>
      <c r="F12" s="102">
        <v>46206</v>
      </c>
      <c r="G12" s="102">
        <v>46206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6" x14ac:dyDescent="0.2">
      <c r="A13" s="91" t="s">
        <v>6</v>
      </c>
      <c r="B13" s="95" t="s">
        <v>3</v>
      </c>
      <c r="C13" s="95" t="s">
        <v>241</v>
      </c>
      <c r="D13" s="101" t="s">
        <v>226</v>
      </c>
      <c r="E13" s="104">
        <v>46202</v>
      </c>
      <c r="F13" s="102">
        <v>46206</v>
      </c>
      <c r="G13" s="102">
        <v>46206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2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16" x14ac:dyDescent="0.2">
      <c r="A14" s="91" t="s">
        <v>6</v>
      </c>
      <c r="B14" s="92" t="s">
        <v>3</v>
      </c>
      <c r="C14" s="92" t="s">
        <v>242</v>
      </c>
      <c r="D14" s="100" t="s">
        <v>227</v>
      </c>
      <c r="E14" s="104">
        <v>46202</v>
      </c>
      <c r="F14" s="102">
        <v>46206</v>
      </c>
      <c r="G14" s="102">
        <v>46206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">
      <c r="A15" s="91" t="s">
        <v>6</v>
      </c>
      <c r="B15" s="95" t="s">
        <v>3</v>
      </c>
      <c r="C15" s="95" t="s">
        <v>243</v>
      </c>
      <c r="D15" t="s">
        <v>228</v>
      </c>
      <c r="E15" s="104">
        <v>46202</v>
      </c>
      <c r="F15" s="102">
        <v>46206</v>
      </c>
      <c r="G15" s="102">
        <v>46206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2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">
      <c r="A16" s="91" t="s">
        <v>6</v>
      </c>
      <c r="B16" s="92" t="s">
        <v>3</v>
      </c>
      <c r="C16" s="92" t="s">
        <v>244</v>
      </c>
      <c r="D16" s="92" t="s">
        <v>229</v>
      </c>
      <c r="E16" s="104">
        <v>46202</v>
      </c>
      <c r="F16" s="102">
        <v>46206</v>
      </c>
      <c r="G16" s="102">
        <v>46206</v>
      </c>
      <c r="H16" s="43" t="str">
        <f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">
      <c r="A17" s="91" t="s">
        <v>6</v>
      </c>
      <c r="B17" s="95" t="s">
        <v>3</v>
      </c>
      <c r="C17" s="95" t="s">
        <v>245</v>
      </c>
      <c r="D17" s="95" t="s">
        <v>250</v>
      </c>
      <c r="E17" s="103">
        <v>46209</v>
      </c>
      <c r="F17" s="103">
        <v>46213</v>
      </c>
      <c r="G17" s="103">
        <v>46213</v>
      </c>
      <c r="H17" s="45" t="str">
        <f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">
      <c r="A69" s="94"/>
      <c r="B69" s="95"/>
      <c r="C69" s="95">
        <v>1</v>
      </c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13" zoomScale="224" workbookViewId="0">
      <selection activeCell="B20" sqref="B20"/>
    </sheetView>
  </sheetViews>
  <sheetFormatPr baseColWidth="10" defaultColWidth="0" defaultRowHeight="15" zeroHeight="1" x14ac:dyDescent="0.2"/>
  <cols>
    <col min="1" max="1" width="4.5" style="2" customWidth="1"/>
    <col min="2" max="2" width="16.5" style="2" customWidth="1"/>
    <col min="3" max="3" width="4.5" style="2" customWidth="1"/>
    <col min="4" max="4" width="16.5" style="2" customWidth="1"/>
    <col min="5" max="5" width="4.5" style="2" customWidth="1"/>
    <col min="6" max="6" width="32.5" style="2" customWidth="1"/>
    <col min="7" max="7" width="4.5" style="2" customWidth="1"/>
    <col min="8" max="8" width="16.5" style="2" customWidth="1"/>
    <col min="9" max="9" width="4.5" customWidth="1"/>
    <col min="10" max="10" width="4.5" style="2" customWidth="1"/>
    <col min="11" max="16384" width="10.6640625" style="2" hidden="1"/>
  </cols>
  <sheetData>
    <row r="1" spans="2:9" ht="15" customHeight="1" x14ac:dyDescent="0.2"/>
    <row r="2" spans="2:9" ht="15" customHeight="1" x14ac:dyDescent="0.2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10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2">
      <c r="E3" s="8" t="s">
        <v>11</v>
      </c>
      <c r="F3" s="112" t="s">
        <v>12</v>
      </c>
      <c r="G3" s="112"/>
      <c r="H3" s="112"/>
    </row>
    <row r="4" spans="2:9" x14ac:dyDescent="0.2">
      <c r="B4" s="89" t="str">
        <f>Idiomas!$A$3</f>
        <v>Idioma</v>
      </c>
      <c r="E4" s="8" t="s">
        <v>13</v>
      </c>
      <c r="F4" s="113" t="s">
        <v>14</v>
      </c>
      <c r="G4" s="113"/>
      <c r="H4" s="113"/>
    </row>
    <row r="5" spans="2:9" ht="15" customHeight="1" x14ac:dyDescent="0.2">
      <c r="B5" s="90" t="s">
        <v>15</v>
      </c>
      <c r="C5" s="37"/>
      <c r="D5" s="39"/>
      <c r="E5" s="39"/>
      <c r="F5" s="39"/>
    </row>
    <row r="6" spans="2:9" ht="15" customHeight="1" x14ac:dyDescent="0.2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25">
      <c r="C7" s="38"/>
      <c r="D7" s="39"/>
      <c r="E7" s="39"/>
      <c r="F7" s="39"/>
    </row>
    <row r="8" spans="2:9" ht="16" thickBot="1" x14ac:dyDescent="0.2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2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2">
      <c r="B10" s="76" t="s">
        <v>8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6" thickBot="1" x14ac:dyDescent="0.25">
      <c r="B11" s="77" t="s">
        <v>7</v>
      </c>
      <c r="D11" s="74" t="s">
        <v>4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2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2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6" thickBot="1" x14ac:dyDescent="0.25">
      <c r="B16" s="76" t="s">
        <v>246</v>
      </c>
      <c r="F16" s="69"/>
      <c r="H16" s="80" t="str">
        <f>Idiomas!$A$19</f>
        <v>Asignado</v>
      </c>
      <c r="I16" s="88">
        <v>8</v>
      </c>
    </row>
    <row r="17" spans="2:9" x14ac:dyDescent="0.2">
      <c r="B17" s="77"/>
      <c r="F17" s="70"/>
      <c r="H17" s="82" t="str">
        <f>Idiomas!$A$4</f>
        <v>AVISO:</v>
      </c>
      <c r="I17" s="84" t="s">
        <v>17</v>
      </c>
    </row>
    <row r="18" spans="2:9" ht="16" thickBot="1" x14ac:dyDescent="0.25">
      <c r="B18" s="78"/>
      <c r="F18" s="69"/>
      <c r="H18" s="83" t="str">
        <f>Idiomas!$A$31</f>
        <v>Cambiar números del 2 al 8</v>
      </c>
    </row>
    <row r="19" spans="2:9" ht="16" thickBot="1" x14ac:dyDescent="0.2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6" thickBot="1" x14ac:dyDescent="0.25">
      <c r="B20" s="64" t="s">
        <v>6</v>
      </c>
      <c r="F20" s="69"/>
    </row>
    <row r="21" spans="2:9" x14ac:dyDescent="0.2">
      <c r="F21" s="70"/>
    </row>
    <row r="22" spans="2:9" ht="16" thickBot="1" x14ac:dyDescent="0.25">
      <c r="B22" s="2" t="str">
        <f>Idiomas!$A$11</f>
        <v>Nombre archivo en Excel para la Web</v>
      </c>
      <c r="F22" s="69"/>
    </row>
    <row r="23" spans="2:9" ht="16" thickBot="1" x14ac:dyDescent="0.25">
      <c r="B23" s="109" t="s">
        <v>18</v>
      </c>
      <c r="C23" s="110"/>
      <c r="D23" s="111"/>
      <c r="F23" s="71"/>
    </row>
    <row r="24" spans="2:9" x14ac:dyDescent="0.2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1" width="10.6640625" style="2" customWidth="1"/>
    <col min="2" max="2" width="9.6640625" style="2" bestFit="1" customWidth="1"/>
    <col min="3" max="3" width="10.5" style="2" customWidth="1"/>
    <col min="4" max="15" width="8.5" style="2" customWidth="1"/>
    <col min="16" max="16" width="16.5" style="2" customWidth="1"/>
    <col min="17" max="16384" width="10.6640625" hidden="1"/>
  </cols>
  <sheetData>
    <row r="1" spans="1:16" ht="17" thickTop="1" thickBot="1" x14ac:dyDescent="0.2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7" thickTop="1" thickBot="1" x14ac:dyDescent="0.2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R-141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R-141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R141:R148</v>
      </c>
    </row>
    <row r="3" spans="1:16" ht="17" thickTop="1" thickBot="1" x14ac:dyDescent="0.2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R-132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R-132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R132:R139</v>
      </c>
    </row>
    <row r="4" spans="1:16" ht="17" thickTop="1" thickBot="1" x14ac:dyDescent="0.2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R-123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R-123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R123:R130</v>
      </c>
    </row>
    <row r="5" spans="1:16" ht="17" thickTop="1" thickBot="1" x14ac:dyDescent="0.2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R-114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R-114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R114:R121</v>
      </c>
    </row>
    <row r="6" spans="1:16" ht="17" thickTop="1" thickBot="1" x14ac:dyDescent="0.2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R-105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R-105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R105:R112</v>
      </c>
    </row>
    <row r="7" spans="1:16" ht="17" thickTop="1" thickBot="1" x14ac:dyDescent="0.2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R-96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R-96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R96:R103</v>
      </c>
    </row>
    <row r="8" spans="1:16" ht="17" thickTop="1" thickBot="1" x14ac:dyDescent="0.2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R-87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R-87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R87:R94</v>
      </c>
    </row>
    <row r="9" spans="1:16" ht="17" thickTop="1" thickBot="1" x14ac:dyDescent="0.2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R-78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R-78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R78:R85</v>
      </c>
    </row>
    <row r="10" spans="1:16" ht="17" thickTop="1" thickBot="1" x14ac:dyDescent="0.2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R-69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R-69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R69:R76</v>
      </c>
    </row>
    <row r="11" spans="1:16" ht="17" thickTop="1" thickBot="1" x14ac:dyDescent="0.2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R-60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R-60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R60:R67</v>
      </c>
    </row>
    <row r="12" spans="1:16" ht="17" thickTop="1" thickBot="1" x14ac:dyDescent="0.2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R-51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R-51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R51:R58</v>
      </c>
    </row>
    <row r="13" spans="1:16" ht="17" thickTop="1" thickBot="1" x14ac:dyDescent="0.2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R-42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R-42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R42:R49</v>
      </c>
    </row>
    <row r="14" spans="1:16" ht="17" thickTop="1" thickBot="1" x14ac:dyDescent="0.2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R-33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R-33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R33:R40</v>
      </c>
    </row>
    <row r="15" spans="1:16" ht="17" thickTop="1" thickBot="1" x14ac:dyDescent="0.2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R-24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R-24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R24:R31</v>
      </c>
    </row>
    <row r="16" spans="1:16" ht="17" thickTop="1" thickBot="1" x14ac:dyDescent="0.2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R-15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R-15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R15:R22</v>
      </c>
    </row>
    <row r="17" spans="1:16" ht="17" thickTop="1" thickBot="1" x14ac:dyDescent="0.2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R-6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R6:R13</v>
      </c>
    </row>
    <row r="18" spans="1:16" ht="17" thickTop="1" thickBot="1" x14ac:dyDescent="0.2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7" thickTop="1" thickBot="1" x14ac:dyDescent="0.2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7" thickTop="1" thickBot="1" x14ac:dyDescent="0.2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7" thickTop="1" thickBot="1" x14ac:dyDescent="0.2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7" thickTop="1" thickBot="1" x14ac:dyDescent="0.2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7" thickTop="1" thickBot="1" x14ac:dyDescent="0.2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7" thickTop="1" thickBot="1" x14ac:dyDescent="0.2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7" thickTop="1" thickBot="1" x14ac:dyDescent="0.2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7" thickTop="1" thickBot="1" x14ac:dyDescent="0.2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7" thickTop="1" thickBot="1" x14ac:dyDescent="0.2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7" thickTop="1" thickBot="1" x14ac:dyDescent="0.2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7" thickTop="1" thickBot="1" x14ac:dyDescent="0.2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7" thickTop="1" thickBot="1" x14ac:dyDescent="0.2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7" thickTop="1" thickBot="1" x14ac:dyDescent="0.2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7" thickTop="1" thickBot="1" x14ac:dyDescent="0.2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7" thickTop="1" thickBot="1" x14ac:dyDescent="0.2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7" thickTop="1" thickBot="1" x14ac:dyDescent="0.2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7" thickTop="1" thickBot="1" x14ac:dyDescent="0.2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7" thickTop="1" thickBot="1" x14ac:dyDescent="0.2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7" thickTop="1" thickBot="1" x14ac:dyDescent="0.2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7" thickTop="1" thickBot="1" x14ac:dyDescent="0.2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7" thickTop="1" thickBot="1" x14ac:dyDescent="0.2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7" thickTop="1" thickBot="1" x14ac:dyDescent="0.2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7" thickTop="1" thickBot="1" x14ac:dyDescent="0.2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7" thickTop="1" thickBot="1" x14ac:dyDescent="0.2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7" thickTop="1" thickBot="1" x14ac:dyDescent="0.2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7" thickTop="1" thickBot="1" x14ac:dyDescent="0.2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7" thickTop="1" thickBot="1" x14ac:dyDescent="0.2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7" thickTop="1" thickBot="1" x14ac:dyDescent="0.2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7" thickTop="1" thickBot="1" x14ac:dyDescent="0.2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7" thickTop="1" thickBot="1" x14ac:dyDescent="0.2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7" thickTop="1" thickBot="1" x14ac:dyDescent="0.2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7" thickTop="1" thickBot="1" x14ac:dyDescent="0.2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7" thickTop="1" thickBot="1" x14ac:dyDescent="0.2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7" thickTop="1" thickBot="1" x14ac:dyDescent="0.2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7" thickTop="1" thickBot="1" x14ac:dyDescent="0.2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7" thickTop="1" thickBot="1" x14ac:dyDescent="0.2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7" thickTop="1" thickBot="1" x14ac:dyDescent="0.2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7" thickTop="1" thickBot="1" x14ac:dyDescent="0.2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7" thickTop="1" thickBot="1" x14ac:dyDescent="0.2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7" thickTop="1" thickBot="1" x14ac:dyDescent="0.2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7" thickTop="1" thickBot="1" x14ac:dyDescent="0.2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7" thickTop="1" thickBot="1" x14ac:dyDescent="0.2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7" thickTop="1" thickBot="1" x14ac:dyDescent="0.2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7" thickTop="1" thickBot="1" x14ac:dyDescent="0.2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7" thickTop="1" thickBot="1" x14ac:dyDescent="0.2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7" thickTop="1" thickBot="1" x14ac:dyDescent="0.2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7" thickTop="1" thickBot="1" x14ac:dyDescent="0.2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7" thickTop="1" thickBot="1" x14ac:dyDescent="0.2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7" thickTop="1" thickBot="1" x14ac:dyDescent="0.2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7" thickTop="1" thickBot="1" x14ac:dyDescent="0.2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7" thickTop="1" thickBot="1" x14ac:dyDescent="0.2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7" thickTop="1" thickBot="1" x14ac:dyDescent="0.2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7" thickTop="1" thickBot="1" x14ac:dyDescent="0.2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7" thickTop="1" thickBot="1" x14ac:dyDescent="0.2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7" thickTop="1" thickBot="1" x14ac:dyDescent="0.2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7" thickTop="1" thickBot="1" x14ac:dyDescent="0.2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7" thickTop="1" thickBot="1" x14ac:dyDescent="0.2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7" thickTop="1" thickBot="1" x14ac:dyDescent="0.2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7" thickTop="1" thickBot="1" x14ac:dyDescent="0.2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7" thickTop="1" thickBot="1" x14ac:dyDescent="0.2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7" thickTop="1" thickBot="1" x14ac:dyDescent="0.2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7" thickTop="1" thickBot="1" x14ac:dyDescent="0.2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7" thickTop="1" thickBot="1" x14ac:dyDescent="0.2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7" thickTop="1" thickBot="1" x14ac:dyDescent="0.2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7" thickTop="1" thickBot="1" x14ac:dyDescent="0.2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7" thickTop="1" thickBot="1" x14ac:dyDescent="0.2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7" thickTop="1" thickBot="1" x14ac:dyDescent="0.2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7" thickTop="1" thickBot="1" x14ac:dyDescent="0.2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7" thickTop="1" thickBot="1" x14ac:dyDescent="0.2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7" thickTop="1" thickBot="1" x14ac:dyDescent="0.2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7" thickTop="1" thickBot="1" x14ac:dyDescent="0.2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7" thickTop="1" thickBot="1" x14ac:dyDescent="0.2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7" thickTop="1" thickBot="1" x14ac:dyDescent="0.2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7" thickTop="1" thickBot="1" x14ac:dyDescent="0.2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7" thickTop="1" thickBot="1" x14ac:dyDescent="0.2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7" thickTop="1" thickBot="1" x14ac:dyDescent="0.2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7" thickTop="1" thickBot="1" x14ac:dyDescent="0.2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7" thickTop="1" thickBot="1" x14ac:dyDescent="0.2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7" thickTop="1" thickBot="1" x14ac:dyDescent="0.2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7" thickTop="1" thickBot="1" x14ac:dyDescent="0.2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ca="1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7" thickTop="1" thickBot="1" x14ac:dyDescent="0.2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ca="1">E99&amp;F99&amp;G99&amp;H99&amp;I99&amp;J99&amp;K99&amp;L99&amp;M99&amp;N99</f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7" thickTop="1" thickBot="1" x14ac:dyDescent="0.2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ca="1">E100&amp;F100&amp;G100&amp;H100&amp;I100&amp;J100&amp;K100&amp;L100&amp;M100&amp;N100</f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7" thickTop="1" thickBot="1" x14ac:dyDescent="0.2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ca="1">E101&amp;F101&amp;G101&amp;H101&amp;I101&amp;J101&amp;K101&amp;L101&amp;M101&amp;N101</f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2" width="4.5" style="2" customWidth="1"/>
    <col min="3" max="6" width="4.5" style="1" customWidth="1"/>
    <col min="7" max="7" width="4.5" style="2" customWidth="1"/>
    <col min="8" max="11" width="4.5" style="1" customWidth="1"/>
    <col min="12" max="12" width="4.5" style="2" customWidth="1"/>
    <col min="13" max="16" width="4.5" style="1" customWidth="1"/>
    <col min="17" max="17" width="4.5" style="2" customWidth="1"/>
    <col min="18" max="21" width="4.5" style="1" customWidth="1"/>
    <col min="22" max="22" width="4.5" style="2" customWidth="1"/>
    <col min="23" max="26" width="4.5" style="1" customWidth="1"/>
    <col min="27" max="27" width="4.5" style="2" customWidth="1"/>
    <col min="28" max="31" width="4.5" style="1" customWidth="1"/>
    <col min="32" max="32" width="4.5" style="2" customWidth="1"/>
    <col min="33" max="36" width="4.5" style="1" customWidth="1"/>
    <col min="37" max="37" width="4.5" style="2" customWidth="1"/>
    <col min="38" max="41" width="4.5" style="1" customWidth="1"/>
    <col min="42" max="42" width="4.5" style="2" customWidth="1"/>
    <col min="43" max="46" width="4.5" style="1" customWidth="1"/>
    <col min="47" max="47" width="4.5" style="2" customWidth="1"/>
    <col min="48" max="51" width="4.5" style="1" customWidth="1"/>
    <col min="52" max="52" width="4.5" style="2" customWidth="1"/>
    <col min="53" max="16384" width="10.6640625" style="2" hidden="1"/>
  </cols>
  <sheetData>
    <row r="1" spans="1:51" s="23" customFormat="1" x14ac:dyDescent="0.2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>EN REVISIÓN</v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10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10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10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10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10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10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10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10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10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9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9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9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9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9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9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9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9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9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8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8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8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8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8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8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8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8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8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7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7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7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7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7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7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7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7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7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">
      <c r="C195" s="20">
        <f t="shared" ca="1" si="70"/>
        <v>1</v>
      </c>
      <c r="D195" s="20" t="str">
        <f ca="1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ca="1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ca="1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17</v>
      </c>
      <c r="S195" s="20" t="str">
        <f ca="1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ca="1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ca="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ca="1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ca="1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ca="1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ca="1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">
      <c r="C196" s="20">
        <f t="shared" ca="1" si="70"/>
        <v>1</v>
      </c>
      <c r="D196" s="20" t="str">
        <f ca="1">IF(C196&gt;C195,IFERROR(IF(F$1="v",SMALL(B$2:B$101,C196),LARGE(B$2:B$101,C196)),""),D195)</f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ca="1">H195--(J195=0)</f>
        <v>1</v>
      </c>
      <c r="I196" s="20" t="str">
        <f ca="1">IF(H196&gt;H195,IFERROR(IF(K$1="v",SMALL(G$2:G$101,H196),LARGE(G$2:G$101,H196)),""),I195)</f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ca="1">M195--(O195=0)</f>
        <v>1</v>
      </c>
      <c r="N196" s="20" t="str">
        <f ca="1">IF(M196&gt;M195,IFERROR(IF(P$1="v",SMALL(L$2:L$101,M196),LARGE(L$2:L$101,M196)),""),N195)</f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ca="1">R195--(T195=0)</f>
        <v>17</v>
      </c>
      <c r="S196" s="20" t="str">
        <f ca="1">IF(R196&gt;R195,IFERROR(IF(U$1="v",SMALL(Q$2:Q$101,R196),LARGE(Q$2:Q$101,R196)),""),S195)</f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ca="1">W195--(Y195=0)</f>
        <v>1</v>
      </c>
      <c r="X196" s="20" t="str">
        <f ca="1">IF(W196&gt;W195,IFERROR(IF(Z$1="v",SMALL(V$2:V$101,W196),LARGE(V$2:V$101,W196)),""),X195)</f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ca="1">AB195--(AD195=0)</f>
        <v>1</v>
      </c>
      <c r="AC196" s="20" t="str">
        <f ca="1">IF(AB196&gt;AB195,IFERROR(IF(AE$1="v",SMALL(AA$2:AA$101,AB196),LARGE(AA$2:AA$101,AB196)),""),AC195)</f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ca="1">AG195--(AI195=0)</f>
        <v>1</v>
      </c>
      <c r="AH196" s="20" t="str">
        <f ca="1">IF(AG196&gt;AG195,IFERROR(IF(AJ$1="v",SMALL(AF$2:AF$101,AG196),LARGE(AF$2:AF$101,AG196)),""),AH195)</f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ca="1">AL195--(AN195=0)</f>
        <v>1</v>
      </c>
      <c r="AM196" s="20" t="str">
        <f ca="1">IF(AL196&gt;AL195,IFERROR(IF(AO$1="v",SMALL(AK$2:AK$101,AL196),LARGE(AK$2:AK$101,AL196)),""),AM195)</f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ca="1">AQ195--(AS195=0)</f>
        <v>1</v>
      </c>
      <c r="AR196" s="20" t="str">
        <f ca="1">IF(AQ196&gt;AQ195,IFERROR(IF(AT$1="v",SMALL(AP$2:AP$101,AQ196),LARGE(AP$2:AP$101,AQ196)),""),AR195)</f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ca="1">AV195--(AX195=0)</f>
        <v>1</v>
      </c>
      <c r="AW196" s="20" t="str">
        <f ca="1">IF(AV196&gt;AV195,IFERROR(IF(AY$1="v",SMALL(AU$2:AU$101,AV196),LARGE(AU$2:AU$101,AV196)),""),AW195)</f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">
      <c r="C197" s="20">
        <f t="shared" ca="1" si="70"/>
        <v>1</v>
      </c>
      <c r="D197" s="20" t="str">
        <f ca="1">IF(C197&gt;C196,IFERROR(IF(F$1="v",SMALL(B$2:B$101,C197),LARGE(B$2:B$101,C197)),""),D196)</f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ca="1">H196--(J196=0)</f>
        <v>1</v>
      </c>
      <c r="I197" s="20" t="str">
        <f ca="1">IF(H197&gt;H196,IFERROR(IF(K$1="v",SMALL(G$2:G$101,H197),LARGE(G$2:G$101,H197)),""),I196)</f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ca="1">M196--(O196=0)</f>
        <v>1</v>
      </c>
      <c r="N197" s="20" t="str">
        <f ca="1">IF(M197&gt;M196,IFERROR(IF(P$1="v",SMALL(L$2:L$101,M197),LARGE(L$2:L$101,M197)),""),N196)</f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ca="1">R196--(T196=0)</f>
        <v>17</v>
      </c>
      <c r="S197" s="20" t="str">
        <f ca="1">IF(R197&gt;R196,IFERROR(IF(U$1="v",SMALL(Q$2:Q$101,R197),LARGE(Q$2:Q$101,R197)),""),S196)</f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ca="1">W196--(Y196=0)</f>
        <v>1</v>
      </c>
      <c r="X197" s="20" t="str">
        <f ca="1">IF(W197&gt;W196,IFERROR(IF(Z$1="v",SMALL(V$2:V$101,W197),LARGE(V$2:V$101,W197)),""),X196)</f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ca="1">AB196--(AD196=0)</f>
        <v>1</v>
      </c>
      <c r="AC197" s="20" t="str">
        <f ca="1">IF(AB197&gt;AB196,IFERROR(IF(AE$1="v",SMALL(AA$2:AA$101,AB197),LARGE(AA$2:AA$101,AB197)),""),AC196)</f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ca="1">AG196--(AI196=0)</f>
        <v>1</v>
      </c>
      <c r="AH197" s="20" t="str">
        <f ca="1">IF(AG197&gt;AG196,IFERROR(IF(AJ$1="v",SMALL(AF$2:AF$101,AG197),LARGE(AF$2:AF$101,AG197)),""),AH196)</f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ca="1">AL196--(AN196=0)</f>
        <v>1</v>
      </c>
      <c r="AM197" s="20" t="str">
        <f ca="1">IF(AL197&gt;AL196,IFERROR(IF(AO$1="v",SMALL(AK$2:AK$101,AL197),LARGE(AK$2:AK$101,AL197)),""),AM196)</f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ca="1">AQ196--(AS196=0)</f>
        <v>1</v>
      </c>
      <c r="AR197" s="20" t="str">
        <f ca="1">IF(AQ197&gt;AQ196,IFERROR(IF(AT$1="v",SMALL(AP$2:AP$101,AQ197),LARGE(AP$2:AP$101,AQ197)),""),AR196)</f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ca="1">AV196--(AX196=0)</f>
        <v>1</v>
      </c>
      <c r="AW197" s="20" t="str">
        <f ca="1">IF(AV197&gt;AV196,IFERROR(IF(AY$1="v",SMALL(AU$2:AU$101,AV197),LARGE(AU$2:AU$101,AV197)),""),AW196)</f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">
      <c r="C198" s="20">
        <f t="shared" ca="1" si="70"/>
        <v>1</v>
      </c>
      <c r="D198" s="20" t="str">
        <f ca="1">IF(C198&gt;C197,IFERROR(IF(F$1="v",SMALL(B$2:B$101,C198),LARGE(B$2:B$101,C198)),""),D197)</f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ca="1">H197--(J197=0)</f>
        <v>1</v>
      </c>
      <c r="I198" s="20" t="str">
        <f ca="1">IF(H198&gt;H197,IFERROR(IF(K$1="v",SMALL(G$2:G$101,H198),LARGE(G$2:G$101,H198)),""),I197)</f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ca="1">M197--(O197=0)</f>
        <v>1</v>
      </c>
      <c r="N198" s="20" t="str">
        <f ca="1">IF(M198&gt;M197,IFERROR(IF(P$1="v",SMALL(L$2:L$101,M198),LARGE(L$2:L$101,M198)),""),N197)</f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ca="1">R197--(T197=0)</f>
        <v>17</v>
      </c>
      <c r="S198" s="20" t="str">
        <f ca="1">IF(R198&gt;R197,IFERROR(IF(U$1="v",SMALL(Q$2:Q$101,R198),LARGE(Q$2:Q$101,R198)),""),S197)</f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ca="1">W197--(Y197=0)</f>
        <v>1</v>
      </c>
      <c r="X198" s="20" t="str">
        <f ca="1">IF(W198&gt;W197,IFERROR(IF(Z$1="v",SMALL(V$2:V$101,W198),LARGE(V$2:V$101,W198)),""),X197)</f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ca="1">AB197--(AD197=0)</f>
        <v>1</v>
      </c>
      <c r="AC198" s="20" t="str">
        <f ca="1">IF(AB198&gt;AB197,IFERROR(IF(AE$1="v",SMALL(AA$2:AA$101,AB198),LARGE(AA$2:AA$101,AB198)),""),AC197)</f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ca="1">AG197--(AI197=0)</f>
        <v>1</v>
      </c>
      <c r="AH198" s="20" t="str">
        <f ca="1">IF(AG198&gt;AG197,IFERROR(IF(AJ$1="v",SMALL(AF$2:AF$101,AG198),LARGE(AF$2:AF$101,AG198)),""),AH197)</f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ca="1">AL197--(AN197=0)</f>
        <v>1</v>
      </c>
      <c r="AM198" s="20" t="str">
        <f ca="1">IF(AL198&gt;AL197,IFERROR(IF(AO$1="v",SMALL(AK$2:AK$101,AL198),LARGE(AK$2:AK$101,AL198)),""),AM197)</f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ca="1">AQ197--(AS197=0)</f>
        <v>1</v>
      </c>
      <c r="AR198" s="20" t="str">
        <f ca="1">IF(AQ198&gt;AQ197,IFERROR(IF(AT$1="v",SMALL(AP$2:AP$101,AQ198),LARGE(AP$2:AP$101,AQ198)),""),AR197)</f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ca="1">AV197--(AX197=0)</f>
        <v>1</v>
      </c>
      <c r="AW198" s="20" t="str">
        <f ca="1">IF(AV198&gt;AV197,IFERROR(IF(AY$1="v",SMALL(AU$2:AU$101,AV198),LARGE(AU$2:AU$101,AV198)),""),AW197)</f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7" width="32.5" style="2" customWidth="1"/>
    <col min="8" max="16384" width="10.6640625" style="2" hidden="1"/>
  </cols>
  <sheetData>
    <row r="1" spans="1:7" x14ac:dyDescent="0.2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jose ignacio leiton</cp:lastModifiedBy>
  <cp:revision>0</cp:revision>
  <dcterms:created xsi:type="dcterms:W3CDTF">2022-12-26T11:27:14Z</dcterms:created>
  <dcterms:modified xsi:type="dcterms:W3CDTF">2026-07-16T14:18:05Z</dcterms:modified>
  <cp:category/>
  <cp:contentStatus/>
</cp:coreProperties>
</file>