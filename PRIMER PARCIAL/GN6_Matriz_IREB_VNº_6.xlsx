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5"/>
    <sheet state="visible" name="MODELO LISTA DE COMPROBACION - " sheetId="2" r:id="rId6"/>
    <sheet state="visible" name="RECOMENDACIONES - CU001.3"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jeny ruiz:
jeny ruiz:
Posterior a la actualización, se guardaran automáticamente el nombre de usuario, fecha, hora, registro antiguo, registro nuevo.</t>
      </text>
    </comment>
  </commentList>
</comments>
</file>

<file path=xl/sharedStrings.xml><?xml version="1.0" encoding="utf-8"?>
<sst xmlns="http://schemas.openxmlformats.org/spreadsheetml/2006/main" count="166" uniqueCount="102">
  <si>
    <t>MATRIZ PARA COMPROBACIÓN REQUERIMIENTOS DE CALIDAD DE PROYECTO ACADEMICO</t>
  </si>
  <si>
    <t>SISTEMA:</t>
  </si>
  <si>
    <t>SISTEMA WEB DE GESTION DE EXPENSAS DEL CONJUNTO LA PRIMAVERA</t>
  </si>
  <si>
    <t>Nº</t>
  </si>
  <si>
    <t>CRITERIOS DE CALIDAD (Documento/Requerimientos)</t>
  </si>
  <si>
    <t>Status
Nivel de Acuerdo</t>
  </si>
  <si>
    <t xml:space="preserve">
CU-01: Administrar Sistema (Nivel 0)</t>
  </si>
  <si>
    <t>CU-1.1: Iniciar Sesión (Expandido)</t>
  </si>
  <si>
    <t>CU-1.2: Recuperar Contraseña (Expandido)</t>
  </si>
  <si>
    <t>Agreed</t>
  </si>
  <si>
    <t>OK</t>
  </si>
  <si>
    <t>Es fundamental para el control de seguridad solicitado por el Administrador.</t>
  </si>
  <si>
    <t>Validado por el equipo de ingeniería de requisitos (Obando, Leiton, Gualotuña).</t>
  </si>
  <si>
    <t>Reduce la carga administrativa de resetear claves manualmente.</t>
  </si>
  <si>
    <t>Ranked</t>
  </si>
  <si>
    <t>Clasificado como Must Have (M) en tu matriz MoSCoW.</t>
  </si>
  <si>
    <t>Prioridad crítica; sin esto no hay operación.</t>
  </si>
  <si>
    <t>Prioridad Must Have para evitar el bloqueo de usuarios.</t>
  </si>
  <si>
    <t>Unambiguos</t>
  </si>
  <si>
    <t>Define claramente que gestiona acceso, autenticación y perfiles.</t>
  </si>
  <si>
    <t>Especifica formatos (alfanumérico, 3-20 caracteres).</t>
  </si>
  <si>
    <t>Define que el código es de 6 dígitos y dura 10 minutos.</t>
  </si>
  <si>
    <t>Valid and up-to date</t>
  </si>
  <si>
    <t>Fecha de vigencia: 18 de enero de 2026.</t>
  </si>
  <si>
    <t>Incluye reglas modernas como encriptación y expiración de sesión.</t>
  </si>
  <si>
    <t>Sigue estándares actuales de seguridad (tokens temporales).</t>
  </si>
  <si>
    <t>Correct</t>
  </si>
  <si>
    <t>Cubre la necesidad de jerarquía entre Administrador y Copropietario.</t>
  </si>
  <si>
    <t>El flujo normal (pasos 1-6) sigue la lógica estándar de autenticación.</t>
  </si>
  <si>
    <t>El proceso de validación vía correo electrónico es el correcto para este sistema.</t>
  </si>
  <si>
    <t>Consisten</t>
  </si>
  <si>
    <t>No contradice otros requisitos; es la base de la seguridad.</t>
  </si>
  <si>
    <t>Se alinea con el RNF-01 (bcrypt y bloqueo de cuenta).</t>
  </si>
  <si>
    <t>Coincide con las reglas de seguridad de contraseñas (min 8 caracteres, etc.).</t>
  </si>
  <si>
    <t>Verifiable</t>
  </si>
  <si>
    <t>Se verifica mediante pruebas de caja negra (login exitoso/fallido).</t>
  </si>
  <si>
    <t>Cambia a OK: Se puede probar el bloqueo tras el 3er intento fallido.</t>
  </si>
  <si>
    <t>Se puede verificar enviando el correo y validando el código en el sistema.</t>
  </si>
  <si>
    <t>Realizable</t>
  </si>
  <si>
    <t>El uso de sesiones y perfiles es estándar en desarrollo web.</t>
  </si>
  <si>
    <t>Cambia a OK: Factible mediante el uso de bases de datos y manejo de sesiones.</t>
  </si>
  <si>
    <t>Requiere un servicio de SMTP (correo), común en proyectos web.</t>
  </si>
  <si>
    <t>Traceable</t>
  </si>
  <si>
    <t>ID: RF-01, vinculado a los sub-procesos 1.1, 1.2 y 1.3.</t>
  </si>
  <si>
    <t>ID: RF-1.1.</t>
  </si>
  <si>
    <t>ID: RF-1.2.</t>
  </si>
  <si>
    <t>Complete</t>
  </si>
  <si>
    <t>Describe el propósito, actores y la regla de "mínimo un Administrador".</t>
  </si>
  <si>
    <t>Tiene precondiciones, postcondiciones y manejo de excepciones (flujo alterno).</t>
  </si>
  <si>
    <t>Incluye flujos de error para códigos expirados o correos inexistentes.</t>
  </si>
  <si>
    <t>Understandability</t>
  </si>
  <si>
    <t>El lenguaje es claro tanto para el cliente como para el equipo técnico.</t>
  </si>
  <si>
    <t>Detalla el proceso de validación paso a paso.</t>
  </si>
  <si>
    <t>Explica claramente la interacción usuario-sistema-correo.</t>
  </si>
  <si>
    <t>FECHA:</t>
  </si>
  <si>
    <t>AUTOR:</t>
  </si>
  <si>
    <t>Stiven Diaz, Jose Leiton, Gabriel Manosalvas</t>
  </si>
  <si>
    <t>REQUERIMIENTOS EVALUADOS :</t>
  </si>
  <si>
    <t>CU001 - CU002 - CU003</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</si>
  <si>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</si>
  <si>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</si>
  <si>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</si>
  <si>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</si>
  <si>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</si>
  <si>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</si>
  <si>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</si>
  <si>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</si>
  <si>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</si>
  <si>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</si>
  <si>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</si>
  <si>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</si>
  <si>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</si>
  <si>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</si>
  <si>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</si>
  <si>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</si>
  <si>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</si>
  <si>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</si>
  <si>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</si>
  <si>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</si>
  <si>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</si>
  <si>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</si>
  <si>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</si>
  <si>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</si>
  <si>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</si>
  <si>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</si>
  <si>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</si>
  <si>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</si>
  <si>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</si>
  <si>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PREGUNTA</t>
  </si>
  <si>
    <t>RECOMENDACIÓN</t>
  </si>
  <si>
    <t>¿Se ha definido el manejo de sesiones concurrentes para un mismo usuario?</t>
  </si>
  <si>
    <t>Especificar en la documentación si un Administrador o Copropietario puede tener la sesión abierta en varios dispositivos a la vez, o si el inicio de una nueva sesión debe cerrar automáticamente la anterior para mitigar riesgos de seguridad.</t>
  </si>
  <si>
    <t>¿Existe un protocolo de seguridad para el envío del código de recuperación de 6 dígitos?</t>
  </si>
  <si>
    <t>Asegurar que el código de verificación (RF-1.2) no se envíe en texto plano sin cifrado TLS en el correo, y definir un límite de reintentos para ingresar el código antes de invalidar el token actual, evitando ataques de fuerza bruta al código de 6 dígitos.</t>
  </si>
  <si>
    <t>¿Se ha contemplado la persistencia de la auditoría en la gestión de perfiles (RF-01)?</t>
  </si>
  <si>
    <t>Implementar un log o historial de cambios de privilegios. Si un Administrador promueve a un Copropietario, debe quedar registrado quién hizo el cambio, en qué fecha y bajo qué justificación, para mantener la trazabilidad que exige el RNF-02.</t>
  </si>
  <si>
    <t>¿El flujo de "Recuperar Contraseña" incluye la validación de contraseñas anteriores?</t>
  </si>
  <si>
    <t>Por seguridad, el sistema no debería permitir que la "nueva contraseña" sea igual a la anterior. Se recomienda añadir una regla de negocio que verifique el historial de las últimas 3 contraseñas para forzar una renovación real.</t>
  </si>
  <si>
    <t>¿Se han definido los estados visuales de los formularios en la interfaz (RNF-06)?</t>
  </si>
  <si>
    <t>Diseñar los estados de error y éxito de los campos en tiempo real (bordes rojos para errores, verdes para aciertos). Esto garantiza que el usuario sepa por qué no puede avanzar en el "Iniciar Sesión" sin esperar a que cargue la página.</t>
  </si>
  <si>
    <t>¿Qué sucede si el servicio de correo electrónico (SMTP) no está disponible durante la recuperación?</t>
  </si>
  <si>
    <t>Definir una excepción clara en el RF-1.2 que indique al usuario: "Servicio de correo temporalmente fuera de línea, intente más tarde", evitando que el sistema se quede "pensando" o muestre un error técnico (500) que confunda al copropietario.</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</si>
</sst>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8.0"/>
      <color theme="1"/>
      <name val="Arial"/>
    </font>
    <font>
      <b/>
      <sz val="18.0"/>
      <color rgb="FF1F497D"/>
      <name val="Calibri"/>
    </font>
    <font>
      <b/>
      <sz val="18.0"/>
      <color theme="1"/>
      <name val="Calibri"/>
    </font>
    <font>
      <b/>
      <sz val="12.0"/>
      <color theme="1"/>
      <name val="Arial"/>
    </font>
    <font/>
    <font>
      <b/>
      <sz val="11.0"/>
      <color theme="1"/>
      <name val="Arial"/>
    </font>
    <font>
      <sz val="11.0"/>
      <color theme="1"/>
      <name val="Calibri"/>
    </font>
    <font>
      <b/>
      <sz val="16.0"/>
      <color theme="0"/>
      <name val="Calibri"/>
    </font>
    <font>
      <b/>
      <sz val="16.0"/>
      <color theme="1"/>
      <name val="Calibri"/>
    </font>
    <font>
      <b/>
      <sz val="12.0"/>
      <color rgb="FFFFFFFF"/>
      <name val="Calibri"/>
    </font>
    <font>
      <b/>
      <sz val="16.0"/>
      <color rgb="FFFFFFFF"/>
      <name val="Calibri"/>
    </font>
    <font>
      <b/>
      <sz val="14.0"/>
      <color theme="1"/>
      <name val="Calibri"/>
    </font>
    <font>
      <sz val="14.0"/>
      <color theme="1"/>
      <name val="Calibri"/>
    </font>
    <font>
      <b/>
      <sz val="18.0"/>
      <color rgb="FFFA7D00"/>
      <name val="Calibri"/>
    </font>
    <font>
      <b/>
      <sz val="11.0"/>
      <color theme="0"/>
      <name val="Calibri"/>
    </font>
    <font>
      <color theme="1"/>
      <name val="Calibri"/>
      <scheme val="minor"/>
    </font>
  </fonts>
  <fills count="7">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B8CCE4"/>
        <bgColor rgb="FFB8CCE4"/>
      </patternFill>
    </fill>
    <fill>
      <patternFill patternType="solid">
        <fgColor rgb="FFC2D69B"/>
        <bgColor rgb="FFC2D69B"/>
      </patternFill>
    </fill>
  </fills>
  <borders count="16">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3" fillId="0" fontId="5" numFmtId="0" xfId="0" applyBorder="1" applyFont="1"/>
    <xf borderId="1" fillId="2" fontId="6"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4" fillId="0" fontId="7" numFmtId="0" xfId="0" applyBorder="1" applyFont="1"/>
    <xf borderId="5" fillId="0" fontId="5" numFmtId="0" xfId="0" applyBorder="1" applyFont="1"/>
    <xf borderId="6" fillId="0" fontId="5" numFmtId="0" xfId="0" applyBorder="1" applyFont="1"/>
    <xf borderId="7" fillId="0" fontId="5" numFmtId="0" xfId="0" applyBorder="1" applyFont="1"/>
    <xf borderId="8" fillId="3" fontId="8" numFmtId="0" xfId="0" applyAlignment="1" applyBorder="1" applyFill="1" applyFont="1">
      <alignment horizontal="center" shrinkToFit="0" vertical="center" wrapText="1"/>
    </xf>
    <xf borderId="9" fillId="3" fontId="8" numFmtId="0" xfId="0" applyAlignment="1" applyBorder="1" applyFont="1">
      <alignment horizontal="center" shrinkToFit="0" vertical="center" wrapText="1"/>
    </xf>
    <xf borderId="10" fillId="0" fontId="5" numFmtId="0" xfId="0" applyBorder="1" applyFont="1"/>
    <xf borderId="4" fillId="4" fontId="9" numFmtId="0" xfId="0" applyAlignment="1" applyBorder="1" applyFill="1" applyFont="1">
      <alignment horizontal="center" shrinkToFit="0" vertical="center" wrapText="1"/>
    </xf>
    <xf borderId="11" fillId="3" fontId="10" numFmtId="0" xfId="0" applyAlignment="1" applyBorder="1" applyFont="1">
      <alignment horizontal="left" readingOrder="0" shrinkToFit="0" vertical="center" wrapText="1"/>
    </xf>
    <xf borderId="0" fillId="0" fontId="7" numFmtId="0" xfId="0" applyFont="1"/>
    <xf borderId="4" fillId="4" fontId="9" numFmtId="0" xfId="0" applyAlignment="1" applyBorder="1" applyFont="1">
      <alignment horizontal="center" readingOrder="0" shrinkToFit="0" vertical="center" wrapText="1"/>
    </xf>
    <xf borderId="4" fillId="3" fontId="10" numFmtId="0" xfId="0" applyAlignment="1" applyBorder="1" applyFont="1">
      <alignment readingOrder="0" shrinkToFit="0" vertical="center" wrapText="1"/>
    </xf>
    <xf borderId="9" fillId="3" fontId="11" numFmtId="0" xfId="0" applyAlignment="1" applyBorder="1" applyFont="1">
      <alignment horizontal="center" readingOrder="0" shrinkToFit="0" vertical="center" wrapText="1"/>
    </xf>
    <xf borderId="4" fillId="3" fontId="10" numFmtId="0" xfId="0" applyAlignment="1" applyBorder="1" applyFont="1">
      <alignment horizontal="left" readingOrder="0" shrinkToFit="0" vertical="center" wrapText="1"/>
    </xf>
    <xf borderId="12" fillId="3" fontId="10" numFmtId="0" xfId="0" applyAlignment="1" applyBorder="1" applyFont="1">
      <alignment horizontal="left" readingOrder="0" shrinkToFit="0" vertical="center" wrapText="1"/>
    </xf>
    <xf borderId="0" fillId="0" fontId="7" numFmtId="0" xfId="0" applyAlignment="1" applyFont="1">
      <alignment vertical="top"/>
    </xf>
    <xf borderId="0" fillId="0" fontId="12" numFmtId="0" xfId="0" applyAlignment="1" applyFont="1">
      <alignment horizontal="left" vertical="top"/>
    </xf>
    <xf borderId="0" fillId="0" fontId="13" numFmtId="0" xfId="0" applyAlignment="1" applyFont="1">
      <alignment horizontal="left" readingOrder="0" shrinkToFit="0" vertical="top" wrapText="1"/>
    </xf>
    <xf borderId="0" fillId="0" fontId="12" numFmtId="0" xfId="0" applyAlignment="1" applyFont="1">
      <alignment horizontal="left"/>
    </xf>
    <xf borderId="0" fillId="0" fontId="13" numFmtId="15" xfId="0" applyAlignment="1" applyFont="1" applyNumberFormat="1">
      <alignment horizontal="left" readingOrder="0" shrinkToFit="0" wrapText="1"/>
    </xf>
    <xf borderId="0" fillId="0" fontId="13" numFmtId="0" xfId="0" applyAlignment="1" applyFont="1">
      <alignment horizontal="left" readingOrder="0" shrinkToFit="0" wrapText="1"/>
    </xf>
    <xf borderId="0" fillId="0" fontId="14" numFmtId="0" xfId="0" applyAlignment="1" applyFont="1">
      <alignment horizontal="center" vertical="center"/>
    </xf>
    <xf borderId="11" fillId="5" fontId="13" numFmtId="0" xfId="0" applyAlignment="1" applyBorder="1" applyFill="1" applyFont="1">
      <alignment horizontal="center" vertical="center"/>
    </xf>
    <xf borderId="13" fillId="5" fontId="13" numFmtId="0" xfId="0" applyAlignment="1" applyBorder="1" applyFont="1">
      <alignment horizontal="center" vertical="center"/>
    </xf>
    <xf borderId="14" fillId="5" fontId="13" numFmtId="0" xfId="0" applyAlignment="1" applyBorder="1" applyFont="1">
      <alignment horizontal="center" vertical="center"/>
    </xf>
    <xf borderId="10" fillId="0" fontId="7" numFmtId="0" xfId="0" applyAlignment="1" applyBorder="1" applyFont="1">
      <alignment horizontal="center" vertical="center"/>
    </xf>
    <xf borderId="4" fillId="0" fontId="7" numFmtId="0" xfId="0" applyAlignment="1" applyBorder="1" applyFont="1">
      <alignment shrinkToFit="0" wrapText="1"/>
    </xf>
    <xf borderId="4" fillId="0" fontId="7" numFmtId="0" xfId="0" applyAlignment="1" applyBorder="1" applyFont="1">
      <alignment horizontal="center" vertical="center"/>
    </xf>
    <xf borderId="9" fillId="0" fontId="7" numFmtId="0" xfId="0" applyAlignment="1" applyBorder="1" applyFont="1">
      <alignment horizontal="center" vertical="center"/>
    </xf>
    <xf borderId="3" fillId="0" fontId="7" numFmtId="0" xfId="0" applyAlignment="1" applyBorder="1" applyFont="1">
      <alignment horizontal="center" vertical="center"/>
    </xf>
    <xf borderId="1" fillId="0" fontId="7" numFmtId="0" xfId="0" applyAlignment="1" applyBorder="1" applyFont="1">
      <alignment shrinkToFit="0" wrapText="1"/>
    </xf>
    <xf borderId="1" fillId="0" fontId="7" numFmtId="0" xfId="0" applyAlignment="1" applyBorder="1" applyFont="1">
      <alignment horizontal="center" vertical="center"/>
    </xf>
    <xf borderId="0" fillId="0" fontId="12" numFmtId="0" xfId="0" applyAlignment="1" applyFont="1">
      <alignment horizontal="left" vertical="center"/>
    </xf>
    <xf borderId="0" fillId="0" fontId="7" numFmtId="9" xfId="0" applyFont="1" applyNumberFormat="1"/>
    <xf borderId="15" fillId="0" fontId="14" numFmtId="0" xfId="0" applyAlignment="1" applyBorder="1" applyFont="1">
      <alignment horizontal="center" vertical="center"/>
    </xf>
    <xf borderId="15" fillId="0" fontId="5" numFmtId="0" xfId="0" applyBorder="1" applyFont="1"/>
    <xf borderId="7" fillId="0" fontId="12" numFmtId="0" xfId="0" applyAlignment="1" applyBorder="1" applyFont="1">
      <alignment horizontal="center" vertical="center"/>
    </xf>
    <xf borderId="5" fillId="0" fontId="12" numFmtId="0" xfId="0" applyAlignment="1" applyBorder="1" applyFont="1">
      <alignment horizontal="center" vertical="center"/>
    </xf>
    <xf borderId="5" fillId="0" fontId="9" numFmtId="0" xfId="0" applyAlignment="1" applyBorder="1" applyFont="1">
      <alignment horizontal="center" vertical="center"/>
    </xf>
    <xf borderId="6" fillId="0" fontId="9" numFmtId="0" xfId="0" applyAlignment="1" applyBorder="1" applyFont="1">
      <alignment horizontal="center" vertical="center"/>
    </xf>
    <xf borderId="2" fillId="0" fontId="7" numFmtId="0" xfId="0" applyAlignment="1" applyBorder="1" applyFont="1">
      <alignment horizontal="center" vertical="center"/>
    </xf>
    <xf borderId="0" fillId="0" fontId="12" numFmtId="0" xfId="0" applyAlignment="1" applyFont="1">
      <alignment horizontal="center"/>
    </xf>
    <xf borderId="4" fillId="6" fontId="15" numFmtId="0" xfId="0" applyAlignment="1" applyBorder="1" applyFill="1" applyFont="1">
      <alignment horizontal="center" vertical="center"/>
    </xf>
    <xf borderId="4" fillId="0" fontId="7" numFmtId="0" xfId="0" applyAlignment="1" applyBorder="1" applyFont="1">
      <alignment readingOrder="0" shrinkToFit="0" wrapText="1"/>
    </xf>
    <xf borderId="4" fillId="0" fontId="7" numFmtId="0" xfId="0" applyAlignment="1" applyBorder="1" applyFont="1">
      <alignment readingOrder="0"/>
    </xf>
    <xf borderId="4" fillId="0" fontId="16" numFmtId="0" xfId="0" applyAlignment="1" applyBorder="1" applyFont="1">
      <alignment readingOrder="0"/>
    </xf>
  </cellXfs>
  <cellStyles count="1">
    <cellStyle xfId="0" name="Normal" builtinId="0"/>
  </cellStyles>
  <dxfs count="13">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s>
  <tableStyles count="3">
    <tableStyle count="3" pivot="0" name="MODELO LISTA DE COMPROBACION - -style">
      <tableStyleElement dxfId="1" type="headerRow"/>
      <tableStyleElement dxfId="2" type="firstRowStripe"/>
      <tableStyleElement dxfId="3" type="secondRowStripe"/>
    </tableStyle>
    <tableStyle count="3" pivot="0" name="MODELO LISTA DE COMPROBACION - -style 2">
      <tableStyleElement dxfId="4" type="headerRow"/>
      <tableStyleElement dxfId="5" type="firstRowStripe"/>
      <tableStyleElement dxfId="3" type="secondRowStripe"/>
    </tableStyle>
    <tableStyle count="3" pivot="0" name="MODELO LISTA DE COMPROBACION - -style 3">
      <tableStyleElement dxfId="6" type="headerRow"/>
      <tableStyleElement dxfId="7"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'!$B$41:$B$43</c:f>
            </c:strRef>
          </c:cat>
          <c:val>
            <c:numRef>
              <c:f>'MODELO LISTA DE COMPROBACION - '!$C$41:$C$43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 -style" showColumnStripes="0" showFirstColumn="1" showLastColumn="1" showRowStripes="1"/>
</table>
</file>

<file path=xl/tables/table2.xml><?xml version="1.0" encoding="utf-8"?>
<table xmlns="http://schemas.openxmlformats.org/spreadsheetml/2006/main" ref="A21:D26" displayName="Table_2" name="Table_2" id="2">
  <tableColumns count="4">
    <tableColumn name="No." id="1"/>
    <tableColumn name="Pregunta" id="2"/>
    <tableColumn name="SI" id="3"/>
    <tableColumn name="NO " id="4"/>
  </tableColumns>
  <tableStyleInfo name="MODELO LISTA DE COMPROBACION - -style 2" showColumnStripes="0" showFirstColumn="1" showLastColumn="1" showRowStripes="1"/>
</table>
</file>

<file path=xl/tables/table3.xml><?xml version="1.0" encoding="utf-8"?>
<table xmlns="http://schemas.openxmlformats.org/spreadsheetml/2006/main" ref="A31:D34" displayName="Table_3" name="Table_3" id="3">
  <tableColumns count="4">
    <tableColumn name="No." id="1"/>
    <tableColumn name="Pregunta" id="2"/>
    <tableColumn name="SI" id="3"/>
    <tableColumn name="NO " id="4"/>
  </tableColumns>
  <tableStyleInfo name="MODELO LISTA DE COMPROBACION - -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row>
    <row r="7" ht="45.0" customHeight="1">
      <c r="B7" s="5" t="s">
        <v>3</v>
      </c>
      <c r="C7" s="6" t="s">
        <v>4</v>
      </c>
      <c r="D7" s="7"/>
      <c r="E7" s="8" t="s">
        <v>5</v>
      </c>
      <c r="F7" s="9" t="s">
        <v>6</v>
      </c>
      <c r="G7" s="8"/>
      <c r="H7" s="10"/>
      <c r="I7" s="9" t="s">
        <v>7</v>
      </c>
      <c r="J7" s="8"/>
      <c r="K7" s="9" t="s">
        <v>8</v>
      </c>
    </row>
    <row r="8" ht="60.0" customHeight="1">
      <c r="B8" s="11"/>
      <c r="C8" s="12"/>
      <c r="D8" s="13"/>
      <c r="E8" s="11"/>
      <c r="F8" s="11"/>
      <c r="G8" s="11"/>
      <c r="H8" s="10"/>
      <c r="I8" s="11"/>
      <c r="J8" s="11"/>
      <c r="K8" s="11"/>
    </row>
    <row r="9" ht="31.5" customHeight="1">
      <c r="B9" s="14">
        <v>1.0</v>
      </c>
      <c r="C9" s="15" t="s">
        <v>9</v>
      </c>
      <c r="D9" s="16"/>
      <c r="E9" s="17" t="s">
        <v>10</v>
      </c>
      <c r="F9" s="18" t="s">
        <v>11</v>
      </c>
      <c r="G9" s="17" t="s">
        <v>10</v>
      </c>
      <c r="H9" s="19"/>
      <c r="I9" s="18" t="s">
        <v>12</v>
      </c>
      <c r="J9" s="20" t="s">
        <v>10</v>
      </c>
      <c r="K9" s="18" t="s">
        <v>13</v>
      </c>
    </row>
    <row r="10" ht="29.25" customHeight="1">
      <c r="B10" s="14">
        <v>2.0</v>
      </c>
      <c r="C10" s="15" t="s">
        <v>14</v>
      </c>
      <c r="D10" s="16"/>
      <c r="E10" s="17" t="s">
        <v>10</v>
      </c>
      <c r="F10" s="21" t="s">
        <v>15</v>
      </c>
      <c r="G10" s="17" t="s">
        <v>10</v>
      </c>
      <c r="I10" s="21" t="s">
        <v>16</v>
      </c>
      <c r="J10" s="20" t="s">
        <v>10</v>
      </c>
      <c r="K10" s="21" t="s">
        <v>17</v>
      </c>
    </row>
    <row r="11" ht="33.75" customHeight="1">
      <c r="B11" s="14">
        <v>3.0</v>
      </c>
      <c r="C11" s="22" t="s">
        <v>18</v>
      </c>
      <c r="D11" s="16"/>
      <c r="E11" s="17" t="s">
        <v>10</v>
      </c>
      <c r="F11" s="21" t="s">
        <v>19</v>
      </c>
      <c r="G11" s="17" t="s">
        <v>10</v>
      </c>
      <c r="I11" s="21" t="s">
        <v>20</v>
      </c>
      <c r="J11" s="20" t="s">
        <v>10</v>
      </c>
      <c r="K11" s="21" t="s">
        <v>21</v>
      </c>
    </row>
    <row r="12" ht="31.5" customHeight="1">
      <c r="B12" s="14">
        <v>4.0</v>
      </c>
      <c r="C12" s="15" t="s">
        <v>22</v>
      </c>
      <c r="D12" s="16"/>
      <c r="E12" s="17" t="s">
        <v>10</v>
      </c>
      <c r="F12" s="23" t="s">
        <v>23</v>
      </c>
      <c r="G12" s="17" t="s">
        <v>10</v>
      </c>
      <c r="I12" s="23" t="s">
        <v>24</v>
      </c>
      <c r="J12" s="20" t="s">
        <v>10</v>
      </c>
      <c r="K12" s="23" t="s">
        <v>25</v>
      </c>
    </row>
    <row r="13" ht="29.25" customHeight="1">
      <c r="B13" s="14">
        <v>5.0</v>
      </c>
      <c r="C13" s="15" t="s">
        <v>26</v>
      </c>
      <c r="D13" s="16"/>
      <c r="E13" s="17" t="s">
        <v>10</v>
      </c>
      <c r="F13" s="23" t="s">
        <v>27</v>
      </c>
      <c r="G13" s="17" t="s">
        <v>10</v>
      </c>
      <c r="I13" s="23" t="s">
        <v>28</v>
      </c>
      <c r="J13" s="20" t="s">
        <v>10</v>
      </c>
      <c r="K13" s="23" t="s">
        <v>29</v>
      </c>
    </row>
    <row r="14" ht="29.25" customHeight="1">
      <c r="B14" s="14">
        <v>6.0</v>
      </c>
      <c r="C14" s="15" t="s">
        <v>30</v>
      </c>
      <c r="D14" s="16"/>
      <c r="E14" s="17" t="s">
        <v>10</v>
      </c>
      <c r="F14" s="23" t="s">
        <v>31</v>
      </c>
      <c r="G14" s="17" t="s">
        <v>10</v>
      </c>
      <c r="I14" s="23" t="s">
        <v>32</v>
      </c>
      <c r="J14" s="20" t="s">
        <v>10</v>
      </c>
      <c r="K14" s="23" t="s">
        <v>33</v>
      </c>
    </row>
    <row r="15">
      <c r="B15" s="14">
        <v>7.0</v>
      </c>
      <c r="C15" s="15" t="s">
        <v>34</v>
      </c>
      <c r="D15" s="16"/>
      <c r="E15" s="17" t="s">
        <v>10</v>
      </c>
      <c r="F15" s="23" t="s">
        <v>35</v>
      </c>
      <c r="G15" s="17" t="s">
        <v>10</v>
      </c>
      <c r="I15" s="23" t="s">
        <v>36</v>
      </c>
      <c r="J15" s="20" t="s">
        <v>10</v>
      </c>
      <c r="K15" s="23" t="s">
        <v>37</v>
      </c>
    </row>
    <row r="16" ht="35.25" customHeight="1">
      <c r="B16" s="14">
        <v>8.0</v>
      </c>
      <c r="C16" s="15" t="s">
        <v>38</v>
      </c>
      <c r="D16" s="16"/>
      <c r="E16" s="17" t="s">
        <v>10</v>
      </c>
      <c r="F16" s="23" t="s">
        <v>39</v>
      </c>
      <c r="G16" s="17" t="s">
        <v>10</v>
      </c>
      <c r="I16" s="23" t="s">
        <v>40</v>
      </c>
      <c r="J16" s="20" t="s">
        <v>10</v>
      </c>
      <c r="K16" s="23" t="s">
        <v>41</v>
      </c>
    </row>
    <row r="17" ht="27.75" customHeight="1">
      <c r="B17" s="14">
        <v>9.0</v>
      </c>
      <c r="C17" s="15" t="s">
        <v>42</v>
      </c>
      <c r="D17" s="16"/>
      <c r="E17" s="17" t="s">
        <v>10</v>
      </c>
      <c r="F17" s="24" t="s">
        <v>43</v>
      </c>
      <c r="G17" s="17" t="s">
        <v>10</v>
      </c>
      <c r="I17" s="24" t="s">
        <v>44</v>
      </c>
      <c r="J17" s="20" t="s">
        <v>10</v>
      </c>
      <c r="K17" s="24" t="s">
        <v>45</v>
      </c>
    </row>
    <row r="18">
      <c r="B18" s="14">
        <v>10.0</v>
      </c>
      <c r="C18" s="15" t="s">
        <v>46</v>
      </c>
      <c r="D18" s="16"/>
      <c r="E18" s="17" t="s">
        <v>10</v>
      </c>
      <c r="F18" s="23" t="s">
        <v>47</v>
      </c>
      <c r="G18" s="17" t="s">
        <v>10</v>
      </c>
      <c r="I18" s="23" t="s">
        <v>48</v>
      </c>
      <c r="J18" s="20" t="s">
        <v>10</v>
      </c>
      <c r="K18" s="23" t="s">
        <v>49</v>
      </c>
    </row>
    <row r="19" ht="33.75" customHeight="1">
      <c r="B19" s="14">
        <v>11.0</v>
      </c>
      <c r="C19" s="15" t="s">
        <v>50</v>
      </c>
      <c r="D19" s="16"/>
      <c r="E19" s="17" t="s">
        <v>10</v>
      </c>
      <c r="F19" s="23" t="s">
        <v>51</v>
      </c>
      <c r="G19" s="17" t="s">
        <v>10</v>
      </c>
      <c r="I19" s="23" t="s">
        <v>52</v>
      </c>
      <c r="J19" s="20" t="s">
        <v>10</v>
      </c>
      <c r="K19" s="23" t="s">
        <v>53</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G7:G8"/>
    <mergeCell ref="I7:I8"/>
    <mergeCell ref="J7:J8"/>
    <mergeCell ref="K7:K8"/>
    <mergeCell ref="C3:K4"/>
    <mergeCell ref="E5:K5"/>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57"/>
    <col customWidth="1" min="3" max="3" width="16.14"/>
    <col customWidth="1" min="4" max="24" width="10.71"/>
  </cols>
  <sheetData>
    <row r="1" ht="51.0" customHeight="1">
      <c r="A1" s="25"/>
      <c r="B1" s="26" t="s">
        <v>1</v>
      </c>
      <c r="C1" s="27" t="s">
        <v>2</v>
      </c>
      <c r="E1" s="25"/>
      <c r="F1" s="25"/>
      <c r="G1" s="25"/>
      <c r="H1" s="25"/>
      <c r="I1" s="25"/>
      <c r="J1" s="25"/>
      <c r="K1" s="25"/>
      <c r="L1" s="25"/>
      <c r="M1" s="25"/>
      <c r="N1" s="25"/>
      <c r="O1" s="25"/>
      <c r="P1" s="25"/>
      <c r="Q1" s="25"/>
      <c r="R1" s="25"/>
      <c r="S1" s="25"/>
      <c r="T1" s="25"/>
      <c r="U1" s="25"/>
      <c r="V1" s="25"/>
      <c r="W1" s="25"/>
      <c r="X1" s="25"/>
      <c r="Y1" s="25"/>
      <c r="Z1" s="25"/>
    </row>
    <row r="2" ht="52.5" customHeight="1">
      <c r="B2" s="28" t="s">
        <v>54</v>
      </c>
      <c r="C2" s="29">
        <v>46126.0</v>
      </c>
    </row>
    <row r="3" ht="38.25" customHeight="1">
      <c r="B3" s="28" t="s">
        <v>55</v>
      </c>
      <c r="C3" s="30" t="s">
        <v>56</v>
      </c>
    </row>
    <row r="4" ht="41.25" customHeight="1">
      <c r="B4" s="28" t="s">
        <v>57</v>
      </c>
      <c r="C4" s="30" t="s">
        <v>58</v>
      </c>
    </row>
    <row r="5" ht="14.25" customHeight="1"/>
    <row r="6" ht="18.0" customHeight="1">
      <c r="A6" s="31" t="s">
        <v>59</v>
      </c>
    </row>
    <row r="7" ht="15.0" customHeight="1">
      <c r="A7" s="32" t="s">
        <v>60</v>
      </c>
      <c r="B7" s="33" t="s">
        <v>61</v>
      </c>
      <c r="C7" s="33" t="s">
        <v>62</v>
      </c>
      <c r="D7" s="34" t="s">
        <v>63</v>
      </c>
    </row>
    <row r="8" ht="30.75" customHeight="1">
      <c r="A8" s="35">
        <v>1.0</v>
      </c>
      <c r="B8" s="36" t="s">
        <v>64</v>
      </c>
      <c r="C8" s="37" t="s">
        <v>65</v>
      </c>
      <c r="D8" s="38"/>
    </row>
    <row r="9" ht="26.25" customHeight="1">
      <c r="A9" s="35">
        <v>2.0</v>
      </c>
      <c r="B9" s="36" t="s">
        <v>66</v>
      </c>
      <c r="C9" s="37" t="s">
        <v>65</v>
      </c>
      <c r="D9" s="38"/>
    </row>
    <row r="10" ht="30.0" customHeight="1">
      <c r="A10" s="35">
        <v>3.0</v>
      </c>
      <c r="B10" s="36" t="s">
        <v>67</v>
      </c>
      <c r="C10" s="37" t="s">
        <v>65</v>
      </c>
      <c r="D10" s="38"/>
    </row>
    <row r="11" ht="28.5" customHeight="1">
      <c r="A11" s="35">
        <v>4.0</v>
      </c>
      <c r="B11" s="36" t="s">
        <v>68</v>
      </c>
      <c r="C11" s="37" t="s">
        <v>65</v>
      </c>
      <c r="D11" s="38"/>
    </row>
    <row r="12" ht="36.75" customHeight="1">
      <c r="A12" s="35">
        <v>5.0</v>
      </c>
      <c r="B12" s="36" t="s">
        <v>69</v>
      </c>
      <c r="C12" s="37" t="s">
        <v>65</v>
      </c>
      <c r="D12" s="38"/>
    </row>
    <row r="13" ht="26.25" customHeight="1">
      <c r="A13" s="35">
        <v>6.0</v>
      </c>
      <c r="B13" s="36" t="s">
        <v>70</v>
      </c>
      <c r="C13" s="37" t="s">
        <v>65</v>
      </c>
      <c r="D13" s="38"/>
    </row>
    <row r="14" ht="27.0" customHeight="1">
      <c r="A14" s="35">
        <v>7.0</v>
      </c>
      <c r="B14" s="36" t="s">
        <v>71</v>
      </c>
      <c r="C14" s="37" t="s">
        <v>65</v>
      </c>
      <c r="D14" s="38"/>
    </row>
    <row r="15" ht="29.25" customHeight="1">
      <c r="A15" s="35">
        <v>8.0</v>
      </c>
      <c r="B15" s="36" t="s">
        <v>72</v>
      </c>
      <c r="C15" s="37" t="s">
        <v>65</v>
      </c>
      <c r="D15" s="38"/>
    </row>
    <row r="16" ht="57.75" customHeight="1">
      <c r="A16" s="39">
        <v>9.0</v>
      </c>
      <c r="B16" s="40" t="s">
        <v>73</v>
      </c>
      <c r="C16" s="41"/>
      <c r="D16" s="41" t="s">
        <v>65</v>
      </c>
    </row>
    <row r="17" ht="14.25" customHeight="1">
      <c r="A17" s="42" t="s">
        <v>74</v>
      </c>
      <c r="C17" s="19">
        <f>COUNTA('MODELO LISTA DE COMPROBACION - '!$C$8:$C$16)</f>
        <v>8</v>
      </c>
      <c r="D17" s="19">
        <f>COUNTA('MODELO LISTA DE COMPROBACION - '!$D$8:$D$16)</f>
        <v>1</v>
      </c>
    </row>
    <row r="18" ht="14.25" customHeight="1">
      <c r="A18" s="42" t="s">
        <v>75</v>
      </c>
      <c r="C18" s="43">
        <f t="shared" ref="C18:D18" si="1">C17/9</f>
        <v>0.8888888889</v>
      </c>
      <c r="D18" s="43">
        <f t="shared" si="1"/>
        <v>0.1111111111</v>
      </c>
    </row>
    <row r="19" ht="14.25" customHeight="1">
      <c r="A19" s="42"/>
      <c r="B19" s="42"/>
      <c r="C19" s="43"/>
      <c r="D19" s="19"/>
    </row>
    <row r="20" ht="24.75" customHeight="1">
      <c r="A20" s="44" t="s">
        <v>76</v>
      </c>
      <c r="B20" s="45"/>
      <c r="C20" s="45"/>
      <c r="D20" s="45"/>
    </row>
    <row r="21" ht="21.75" customHeight="1">
      <c r="A21" s="46" t="s">
        <v>60</v>
      </c>
      <c r="B21" s="47" t="s">
        <v>61</v>
      </c>
      <c r="C21" s="48" t="s">
        <v>62</v>
      </c>
      <c r="D21" s="49" t="s">
        <v>63</v>
      </c>
    </row>
    <row r="22" ht="32.25" customHeight="1">
      <c r="A22" s="35">
        <v>1.0</v>
      </c>
      <c r="B22" s="36" t="s">
        <v>77</v>
      </c>
      <c r="C22" s="41" t="s">
        <v>65</v>
      </c>
      <c r="D22" s="38"/>
    </row>
    <row r="23" ht="28.5" customHeight="1">
      <c r="A23" s="35">
        <v>2.0</v>
      </c>
      <c r="B23" s="36" t="s">
        <v>78</v>
      </c>
      <c r="C23" s="41" t="s">
        <v>65</v>
      </c>
      <c r="D23" s="38"/>
    </row>
    <row r="24" ht="21.0" customHeight="1">
      <c r="A24" s="35">
        <v>3.0</v>
      </c>
      <c r="B24" s="36" t="s">
        <v>79</v>
      </c>
      <c r="C24" s="41" t="s">
        <v>65</v>
      </c>
      <c r="D24" s="38"/>
    </row>
    <row r="25" ht="32.25" customHeight="1">
      <c r="A25" s="35">
        <v>4.0</v>
      </c>
      <c r="B25" s="36" t="s">
        <v>80</v>
      </c>
      <c r="C25" s="41" t="s">
        <v>65</v>
      </c>
      <c r="D25" s="38"/>
    </row>
    <row r="26" ht="21.0" customHeight="1">
      <c r="A26" s="39">
        <v>5.0</v>
      </c>
      <c r="B26" s="40" t="s">
        <v>81</v>
      </c>
      <c r="C26" s="41" t="s">
        <v>65</v>
      </c>
      <c r="D26" s="50"/>
    </row>
    <row r="27" ht="14.25" customHeight="1">
      <c r="A27" s="42" t="s">
        <v>74</v>
      </c>
      <c r="C27" s="19">
        <f>COUNTA('MODELO LISTA DE COMPROBACION - '!$C$22:$C$26)</f>
        <v>5</v>
      </c>
      <c r="D27" s="19">
        <f>COUNTA('MODELO LISTA DE COMPROBACION - '!$D$22:$D$26)</f>
        <v>0</v>
      </c>
    </row>
    <row r="28" ht="14.25" customHeight="1">
      <c r="A28" s="42" t="s">
        <v>75</v>
      </c>
      <c r="C28" s="43">
        <f t="shared" ref="C28:D28" si="2">C27/5</f>
        <v>1</v>
      </c>
      <c r="D28" s="43">
        <f t="shared" si="2"/>
        <v>0</v>
      </c>
    </row>
    <row r="29" ht="14.25" customHeight="1">
      <c r="A29" s="42"/>
      <c r="B29" s="42"/>
      <c r="C29" s="43"/>
      <c r="D29" s="19"/>
    </row>
    <row r="30" ht="20.25" customHeight="1">
      <c r="A30" s="31" t="s">
        <v>82</v>
      </c>
    </row>
    <row r="31" ht="20.25" customHeight="1">
      <c r="A31" s="46" t="s">
        <v>60</v>
      </c>
      <c r="B31" s="47" t="s">
        <v>61</v>
      </c>
      <c r="C31" s="48" t="s">
        <v>62</v>
      </c>
      <c r="D31" s="49" t="s">
        <v>63</v>
      </c>
    </row>
    <row r="32" ht="30.75" customHeight="1">
      <c r="A32" s="35">
        <v>1.0</v>
      </c>
      <c r="B32" s="36" t="s">
        <v>83</v>
      </c>
      <c r="C32" s="41" t="s">
        <v>65</v>
      </c>
      <c r="D32" s="41"/>
    </row>
    <row r="33" ht="30.75" customHeight="1">
      <c r="A33" s="35">
        <v>2.0</v>
      </c>
      <c r="B33" s="36" t="s">
        <v>84</v>
      </c>
      <c r="C33" s="41" t="s">
        <v>65</v>
      </c>
      <c r="D33" s="41"/>
    </row>
    <row r="34" ht="30.0" customHeight="1">
      <c r="A34" s="39">
        <v>3.0</v>
      </c>
      <c r="B34" s="40" t="s">
        <v>85</v>
      </c>
      <c r="C34" s="41" t="s">
        <v>65</v>
      </c>
      <c r="D34" s="41"/>
    </row>
    <row r="35" ht="14.25" customHeight="1">
      <c r="A35" s="42" t="s">
        <v>74</v>
      </c>
      <c r="C35" s="19">
        <f>COUNTA('MODELO LISTA DE COMPROBACION - '!$C$32:$C$34)</f>
        <v>3</v>
      </c>
      <c r="D35" s="19">
        <f>COUNTA('MODELO LISTA DE COMPROBACION - '!$D$32:$D$34)</f>
        <v>0</v>
      </c>
    </row>
    <row r="36" ht="14.25" customHeight="1">
      <c r="A36" s="42" t="s">
        <v>75</v>
      </c>
      <c r="C36" s="43">
        <f t="shared" ref="C36:D36" si="3">C35/3</f>
        <v>1</v>
      </c>
      <c r="D36" s="43">
        <f t="shared" si="3"/>
        <v>0</v>
      </c>
    </row>
    <row r="37" ht="14.25" customHeight="1"/>
    <row r="38" ht="14.25" customHeight="1"/>
    <row r="39" ht="14.25" customHeight="1"/>
    <row r="40" ht="14.25" customHeight="1">
      <c r="A40" s="51" t="s">
        <v>86</v>
      </c>
    </row>
    <row r="41" ht="30.0" customHeight="1">
      <c r="B41" s="25" t="s">
        <v>87</v>
      </c>
      <c r="C41" s="19">
        <v>89.0</v>
      </c>
    </row>
    <row r="42" ht="30.0" customHeight="1">
      <c r="B42" s="25" t="s">
        <v>76</v>
      </c>
      <c r="C42" s="19">
        <v>100.0</v>
      </c>
    </row>
    <row r="43" ht="30.0" customHeight="1">
      <c r="B43" s="25" t="s">
        <v>82</v>
      </c>
      <c r="C43" s="19">
        <v>100.0</v>
      </c>
    </row>
    <row r="44" ht="14.25" customHeight="1">
      <c r="C44" s="19"/>
    </row>
    <row r="45" ht="14.25" customHeight="1">
      <c r="C45" s="19"/>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4:D4"/>
    <mergeCell ref="A6:D6"/>
    <mergeCell ref="A17:B17"/>
    <mergeCell ref="A20:D20"/>
    <mergeCell ref="C3:D3"/>
  </mergeCells>
  <conditionalFormatting sqref="A32:D34">
    <cfRule type="containsText" dxfId="8" priority="1" operator="containsText" text="X">
      <formula>NOT(ISERROR(SEARCH(("X"),(A32))))</formula>
    </cfRule>
  </conditionalFormatting>
  <conditionalFormatting sqref="C8:D16 C22:C26 C32:D34">
    <cfRule type="containsText" dxfId="9" priority="2" operator="containsText" text="X">
      <formula>NOT(ISERROR(SEARCH(("X"),(C8))))</formula>
    </cfRule>
  </conditionalFormatting>
  <conditionalFormatting sqref="C8:D16 C22:C26 C32:D34">
    <cfRule type="containsText" dxfId="10" priority="3" operator="containsText" text="X">
      <formula>NOT(ISERROR(SEARCH(("X"),(C8))))</formula>
    </cfRule>
  </conditionalFormatting>
  <conditionalFormatting sqref="C8:D16 C22:C26 C32:D34">
    <cfRule type="containsText" dxfId="11" priority="4" operator="containsText" text="X">
      <formula>NOT(ISERROR(SEARCH(("X"),(C8))))</formula>
    </cfRule>
  </conditionalFormatting>
  <conditionalFormatting sqref="C8:D16 C22:C26 C32:D34">
    <cfRule type="containsText" dxfId="12" priority="5" operator="containsText" text="X">
      <formula>NOT(ISERROR(SEARCH(("X"),(C8))))</formula>
    </cfRule>
  </conditionalFormatting>
  <conditionalFormatting sqref="C22:D26">
    <cfRule type="containsText" dxfId="9" priority="6" operator="containsText" text="X">
      <formula>NOT(ISERROR(SEARCH(("X"),(C22))))</formula>
    </cfRule>
  </conditionalFormatting>
  <conditionalFormatting sqref="C22:D26">
    <cfRule type="containsText" dxfId="10" priority="7" operator="containsText" text="X">
      <formula>NOT(ISERROR(SEARCH(("X"),(C22))))</formula>
    </cfRule>
  </conditionalFormatting>
  <conditionalFormatting sqref="C32:D34">
    <cfRule type="containsText" dxfId="9"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4"/>
    <col customWidth="1" min="2" max="2" width="211.29"/>
    <col customWidth="1" min="3" max="6" width="10.71"/>
  </cols>
  <sheetData>
    <row r="1" ht="14.25" customHeight="1">
      <c r="A1" s="52" t="s">
        <v>88</v>
      </c>
      <c r="B1" s="52" t="s">
        <v>89</v>
      </c>
    </row>
    <row r="2" ht="14.25" customHeight="1">
      <c r="A2" s="53" t="s">
        <v>90</v>
      </c>
      <c r="B2" s="53" t="s">
        <v>91</v>
      </c>
    </row>
    <row r="3" ht="14.25" customHeight="1">
      <c r="A3" s="54" t="s">
        <v>92</v>
      </c>
      <c r="B3" s="53" t="s">
        <v>93</v>
      </c>
    </row>
    <row r="4" ht="14.25" customHeight="1">
      <c r="A4" s="55" t="s">
        <v>94</v>
      </c>
      <c r="B4" s="55" t="s">
        <v>95</v>
      </c>
    </row>
    <row r="5" ht="14.25" customHeight="1">
      <c r="A5" s="55" t="s">
        <v>96</v>
      </c>
      <c r="B5" s="55" t="s">
        <v>97</v>
      </c>
    </row>
    <row r="6" ht="14.25" customHeight="1">
      <c r="A6" s="55" t="s">
        <v>98</v>
      </c>
      <c r="B6" s="55" t="s">
        <v>99</v>
      </c>
    </row>
    <row r="7" ht="14.25" customHeight="1">
      <c r="A7" s="55" t="s">
        <v>100</v>
      </c>
      <c r="B7" s="55" t="s">
        <v>101</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