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LC CU-02" sheetId="2" r:id="rId6"/>
    <sheet state="visible" name="MLC CU-03" sheetId="3" r:id="rId7"/>
    <sheet state="visible" name="MLC CU-01" sheetId="4" r:id="rId8"/>
    <sheet state="visible" name="RECOMENDACIONES" sheetId="5" r:id="rId9"/>
  </sheets>
  <definedNames/>
  <calcPr/>
</workbook>
</file>

<file path=xl/sharedStrings.xml><?xml version="1.0" encoding="utf-8"?>
<sst xmlns="http://schemas.openxmlformats.org/spreadsheetml/2006/main" count="316" uniqueCount="116">
  <si>
    <t>MATRIZ PARA COMPROBACIÓN REQUERIMIENTOS DE CALIDAD DE PROYECTO ACADEMICO</t>
  </si>
  <si>
    <t>SISTEMA:</t>
  </si>
  <si>
    <t>SISTEMA WEB DE GESTIÓN DE EXPENSAS DEL CONJUNTO LA PRIMAVERA</t>
  </si>
  <si>
    <t>Nº</t>
  </si>
  <si>
    <t>CRITERIOS DE CALIDAD (Documento/Requerimientos)</t>
  </si>
  <si>
    <t>Status
Nivel de Acuerdo</t>
  </si>
  <si>
    <t xml:space="preserve">
CU-01. Administrar Sistema (Nivel 0)</t>
  </si>
  <si>
    <t>CU-02: Gestionar Copropietarios (Nivel 0)</t>
  </si>
  <si>
    <t>CU-03: Implementar Pagos (Nivel 0)</t>
  </si>
  <si>
    <t>Agreed</t>
  </si>
  <si>
    <t>OK</t>
  </si>
  <si>
    <t>Es fundamental para el control de seguridad solicitado por el Administrador.</t>
  </si>
  <si>
    <t>Validado por la necesidad de centralizar la base de datos de 60 casas.</t>
  </si>
  <si>
    <t>Es el objetivo central del negocio y la razón de ser del sistema para el Conjunto La Primavera.</t>
  </si>
  <si>
    <t>Ranked</t>
  </si>
  <si>
    <t>Clasificado como Must Have (M) en tu matriz MoSCoW.</t>
  </si>
  <si>
    <t>Prioridad Must Have (M); es la base de datos principal.</t>
  </si>
  <si>
    <t>Prioridad Crítica (Must Have) en la matriz de valor de negocio.</t>
  </si>
  <si>
    <t>Unambiguos</t>
  </si>
  <si>
    <t>Define claramente que gestiona acceso, autenticación y perfiles.</t>
  </si>
  <si>
    <t>Define operaciones de carga, modificación, eliminación y consulta.</t>
  </si>
  <si>
    <t>Define claramente que el proceso abarca registro, validación y control de mora.</t>
  </si>
  <si>
    <t>Valid and up-to date</t>
  </si>
  <si>
    <t>NOK</t>
  </si>
  <si>
    <t>No se han realizado actualizaciones, la última interacción con el cliente fue 08/12/2025</t>
  </si>
  <si>
    <t>Correct</t>
  </si>
  <si>
    <t>Cubre la necesidad de jerarquía entre Administrador y Copropietario.</t>
  </si>
  <si>
    <t>El sistema permite "Eliminar" (CU-2.5), pero el CU-02 no define si esa eliminación es física o lógica, poniendo en riesgo la integridad de la base de datos.</t>
  </si>
  <si>
    <t>El requerimiento refleja con exactitud la regla de negocio del Conjunto para el procesamiento de pagos esto porque define lógicamente las operaciones financieras necesarias (registro de expensas, validación y cálculo de mora) sin errores conceptuales, garantizando que el sistema calculará y registrará las transacciones tal como lo requiere la administración.</t>
  </si>
  <si>
    <t>Consisten</t>
  </si>
  <si>
    <t>No contradice otros requisitos; es la base de la seguridad.</t>
  </si>
  <si>
    <t>Se alinea con la lógica de que un Copropietario solo ve sus datos.</t>
  </si>
  <si>
    <t>Se alinea con los requerimientos no funcionales de integridad de datos (RNF-02).</t>
  </si>
  <si>
    <t>Verifiable</t>
  </si>
  <si>
    <t>Se verifica mediante pruebas de caja negra (login exitoso/fallido).</t>
  </si>
  <si>
    <t>Se verifica al probar los sub-casos (2.1 al 2.5).</t>
  </si>
  <si>
    <t>Al ser un nivel 0, no es verificable por sí mismo si no se prueban todos sus niveles inferiores (3.1 al 3.4).</t>
  </si>
  <si>
    <t>Realizable</t>
  </si>
  <si>
    <t>El uso de sesiones y perfiles es estándar en desarrollo web pero no se ha establecido un presupuesto y que tenga conocimiento el cliente</t>
  </si>
  <si>
    <t>Es un módulo CRUD (Create, Read, Update, Delete) estándar, pero no se ha establecido un presupuesto y que tenga conocimiento el cliente</t>
  </si>
  <si>
    <t>Es totalmente factible con una arquitectura web estándar de base de datos relacional, pero no se ha establecido un presupuesto y que tenga conocimiento el cliente</t>
  </si>
  <si>
    <t>Traceable</t>
  </si>
  <si>
    <t>ID: RF-01, vinculado a los sub-procesos 1.1, 1.2 y 1.3.</t>
  </si>
  <si>
    <t>ID: RF-02.</t>
  </si>
  <si>
    <t>Código de trazabilidad: RF-03.</t>
  </si>
  <si>
    <t>Complete</t>
  </si>
  <si>
    <t>Describe el propósito, actores y la regla de "mínimo un Administrador".</t>
  </si>
  <si>
    <t>Describe actores y propósitos generales de manera robusta.</t>
  </si>
  <si>
    <t>Incompleto: No define cómo se manejan los pagos realizados en efectivo o si el sistema es estrictamente para transferencias/depósitos.</t>
  </si>
  <si>
    <t>Understandability</t>
  </si>
  <si>
    <t>El lenguaje es claro tanto para el cliente como para el equipo técnico.</t>
  </si>
  <si>
    <t>Conceptos claros para cualquier usuario del conjunto.</t>
  </si>
  <si>
    <t>El propósito y la descripción son claros para el cliente y los ingenieros de requisitos.</t>
  </si>
  <si>
    <t>SISTEMA WEB DE GESTION DE EXPENSAS DEL CONJUNTO LA PRIMAVERA</t>
  </si>
  <si>
    <t>FECHA:</t>
  </si>
  <si>
    <t>AUTOR:</t>
  </si>
  <si>
    <t>Gabriel Manosalvas</t>
  </si>
  <si>
    <t>REQUERIMIENTO EVALUADO:</t>
  </si>
  <si>
    <t>CU-02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</si>
  <si>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</si>
  <si>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</si>
  <si>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</si>
  <si>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</si>
  <si>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</si>
  <si>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</si>
  <si>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</si>
  <si>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</si>
  <si>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</si>
  <si>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</si>
  <si>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</si>
  <si>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</si>
  <si>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</si>
  <si>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</si>
  <si>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</si>
  <si>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</si>
  <si>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</si>
  <si>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</si>
  <si>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</si>
  <si>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</si>
  <si>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</si>
  <si>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</si>
  <si>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</si>
  <si>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</si>
  <si>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</si>
  <si>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</si>
  <si>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x</t>
  </si>
  <si>
    <t>Han sido resueltos todos los conflictos conocidos respectos de los requerimientos?</t>
  </si>
  <si>
    <t>RESUMEN</t>
  </si>
  <si>
    <t xml:space="preserve">CONTENIDO </t>
  </si>
  <si>
    <t>Díaz Stiven</t>
  </si>
  <si>
    <t>CU-03</t>
  </si>
  <si>
    <t>Jose Leiton</t>
  </si>
  <si>
    <t>CU-01</t>
  </si>
  <si>
    <t>CU-01: Administrar Sistema (Seguridad y Acceso)</t>
  </si>
  <si>
    <t>PREGUNTA</t>
  </si>
  <si>
    <t>RECOMENDACIÓN</t>
  </si>
  <si>
    <t>¿Se ha establecido un presupuesto y cronograma formal para el desarrollo de perfiles?</t>
  </si>
  <si>
    <t>Se debe coordinar una reunión con el cliente para definir el presupuesto asignado, ya que actualmente se marca como "No Realizable" por falta de conocimiento económico del cliente.</t>
  </si>
  <si>
    <t>¿Existe un plan de actualización de requerimientos tras la última revisión de 2025?</t>
  </si>
  <si>
    <t>Se recomienda actualizar la documentación a la versión actual (2026), ya que la falta de interacción reciente con el cliente pone en riesgo la vigencia del RF-01.</t>
  </si>
  <si>
    <t>¿Se han definido métricas de rendimiento para el proceso de autenticación?</t>
  </si>
  <si>
    <t>Incorporar criterios de aceptación técnicos (ej. tiempo de respuesta &lt; 2s) para que el CU-01 sea verificable objetivamente más allá de una prueba de caja negra básica.</t>
  </si>
  <si>
    <t>CU-02: Gestionar Copropietarios (Base de Datos)</t>
  </si>
  <si>
    <t>¿La eliminación de copropietarios (CU-2.5) será física o lógica en la base de datos?</t>
  </si>
  <si>
    <t>Se recomienda implementar eliminación lógica para evitar la pérdida de integridad referencial y asegurar que los registros históricos de deudas no desaparezcan.</t>
  </si>
  <si>
    <t>¿Se ha validado la factibilidad técnica del CRUD frente al presupuesto del proyecto?</t>
  </si>
  <si>
    <t>Al igual que en el CU-01, es necesario presentar al cliente el costo estimado de implementación de este módulo para que pase de "NOK" a "Realizable".</t>
  </si>
  <si>
    <t>¿Cómo se garantiza que un copropietario solo visualice sus propios datos?</t>
  </si>
  <si>
    <t>Reforzar en la documentación las reglas de negocio de filtrado de datos por ID de usuario, asegurando la consistencia con la seguridad del sistema.</t>
  </si>
  <si>
    <t>CU-03: Implementar Pagos (Gestión Financiera)</t>
  </si>
  <si>
    <t>¿Cuál es el flujo de trabajo para pagos realizados específicamente en efectivo?</t>
  </si>
  <si>
    <t>Completar el requerimiento definiendo si el Administrador registrará estos pagos manualmente o si el sistema será exclusivo para transferencias/depósitos.</t>
  </si>
  <si>
    <t>¿Qué mecanismos de prueba se usarán para verificar este CU de Nivel 0?</t>
  </si>
  <si>
    <t>Debido a que el CU-03 no es verificable por sí mismo, se recomienda hacer pruebas que integren obligatoriamente los sub-procesos 3.1 al 3.4.</t>
  </si>
  <si>
    <t>¿Cómo se gestionará el control de mora del 12% mencionado en la descripción?</t>
  </si>
  <si>
    <t>Definir la lógica de cálculo automático de intereses dentro del flujo "Ingreso -&gt; Auditoría -&gt; Recibo" para asegurar el cumplimiento del control financiero esperado.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</si>
</sst>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6.0"/>
      <color rgb="FFFFFFFF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sz val="12.0"/>
      <color rgb="FF000000"/>
      <name val="-webkit-standard"/>
    </font>
    <font>
      <color rgb="FFFFFFF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theme="6"/>
        <bgColor theme="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7" numFmtId="0" xfId="0" applyAlignment="1" applyBorder="1" applyFill="1" applyFont="1">
      <alignment horizontal="center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4" fontId="8" numFmtId="0" xfId="0" applyAlignment="1" applyBorder="1" applyFill="1" applyFont="1">
      <alignment horizontal="center" shrinkToFit="0" vertical="center" wrapText="1"/>
    </xf>
    <xf borderId="11" fillId="3" fontId="9" numFmtId="0" xfId="0" applyAlignment="1" applyBorder="1" applyFont="1">
      <alignment horizontal="left" readingOrder="0" shrinkToFit="0" vertical="center" wrapText="1"/>
    </xf>
    <xf borderId="10" fillId="4" fontId="8" numFmtId="0" xfId="0" applyAlignment="1" applyBorder="1" applyFont="1">
      <alignment horizontal="center" readingOrder="0" shrinkToFit="0" vertical="center" wrapText="1"/>
    </xf>
    <xf borderId="12" fillId="3" fontId="9" numFmtId="0" xfId="0" applyAlignment="1" applyBorder="1" applyFont="1">
      <alignment horizontal="left" readingOrder="0" shrinkToFit="0" vertical="center" wrapText="1"/>
    </xf>
    <xf borderId="10" fillId="3" fontId="9" numFmtId="0" xfId="0" applyAlignment="1" applyBorder="1" applyFont="1">
      <alignment readingOrder="0" shrinkToFit="0" vertical="center" wrapText="1"/>
    </xf>
    <xf borderId="8" fillId="3" fontId="10" numFmtId="0" xfId="0" applyAlignment="1" applyBorder="1" applyFont="1">
      <alignment horizontal="center" readingOrder="0" shrinkToFit="0" vertical="center" wrapText="1"/>
    </xf>
    <xf borderId="10" fillId="5" fontId="8" numFmtId="0" xfId="0" applyAlignment="1" applyBorder="1" applyFill="1" applyFont="1">
      <alignment horizontal="center" readingOrder="0" shrinkToFit="0" vertical="center" wrapText="1"/>
    </xf>
    <xf borderId="10" fillId="3" fontId="9" numFmtId="0" xfId="0" applyAlignment="1" applyBorder="1" applyFont="1">
      <alignment horizontal="left" readingOrder="0" shrinkToFit="0" vertical="center" wrapText="1"/>
    </xf>
    <xf borderId="13" fillId="3" fontId="9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vertical="top"/>
    </xf>
    <xf borderId="0" fillId="0" fontId="12" numFmtId="0" xfId="0" applyAlignment="1" applyFont="1">
      <alignment horizontal="left" vertical="top"/>
    </xf>
    <xf borderId="0" fillId="0" fontId="13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/>
    </xf>
    <xf borderId="0" fillId="0" fontId="13" numFmtId="15" xfId="0" applyAlignment="1" applyFont="1" applyNumberForma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/>
    </xf>
    <xf borderId="0" fillId="0" fontId="14" numFmtId="0" xfId="0" applyAlignment="1" applyFont="1">
      <alignment horizontal="center" vertical="center"/>
    </xf>
    <xf borderId="11" fillId="6" fontId="13" numFmtId="0" xfId="0" applyAlignment="1" applyBorder="1" applyFill="1" applyFont="1">
      <alignment horizontal="center" vertical="center"/>
    </xf>
    <xf borderId="14" fillId="6" fontId="13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shrinkToFit="0" wrapText="1"/>
    </xf>
    <xf borderId="10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shrinkToFit="0" wrapText="1"/>
    </xf>
    <xf borderId="1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1" numFmtId="0" xfId="0" applyFont="1"/>
    <xf borderId="0" fillId="0" fontId="11" numFmtId="9" xfId="0" applyFont="1" applyNumberFormat="1"/>
    <xf borderId="16" fillId="0" fontId="14" numFmtId="0" xfId="0" applyAlignment="1" applyBorder="1" applyFont="1">
      <alignment horizontal="center" vertical="center"/>
    </xf>
    <xf borderId="16" fillId="0" fontId="5" numFmtId="0" xfId="0" applyBorder="1" applyFont="1"/>
    <xf borderId="6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/>
    </xf>
    <xf borderId="10" fillId="0" fontId="11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  <xf borderId="10" fillId="7" fontId="16" numFmtId="0" xfId="0" applyAlignment="1" applyBorder="1" applyFill="1" applyFont="1">
      <alignment readingOrder="0"/>
    </xf>
    <xf borderId="10" fillId="0" fontId="17" numFmtId="0" xfId="0" applyAlignment="1" applyBorder="1" applyFont="1">
      <alignment readingOrder="0"/>
    </xf>
    <xf borderId="10" fillId="0" fontId="18" numFmtId="0" xfId="0" applyAlignment="1" applyBorder="1" applyFont="1">
      <alignment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LC CU-02-style">
      <tableStyleElement dxfId="1" type="headerRow"/>
      <tableStyleElement dxfId="2" type="firstRowStripe"/>
      <tableStyleElement dxfId="3" type="secondRowStripe"/>
    </tableStyle>
    <tableStyle count="3" pivot="0" name="MLC CU-02-style 2">
      <tableStyleElement dxfId="4" type="headerRow"/>
      <tableStyleElement dxfId="5" type="firstRowStripe"/>
      <tableStyleElement dxfId="3" type="secondRowStripe"/>
    </tableStyle>
    <tableStyle count="3" pivot="0" name="MLC CU-02-style 3">
      <tableStyleElement dxfId="6" type="headerRow"/>
      <tableStyleElement dxfId="7" type="firstRowStripe"/>
      <tableStyleElement dxfId="3" type="secondRowStripe"/>
    </tableStyle>
    <tableStyle count="3" pivot="0" name="MLC CU-03-style">
      <tableStyleElement dxfId="1" type="headerRow"/>
      <tableStyleElement dxfId="2" type="firstRowStripe"/>
      <tableStyleElement dxfId="3" type="secondRowStripe"/>
    </tableStyle>
    <tableStyle count="3" pivot="0" name="MLC CU-03-style 2">
      <tableStyleElement dxfId="4" type="headerRow"/>
      <tableStyleElement dxfId="5" type="firstRowStripe"/>
      <tableStyleElement dxfId="3" type="secondRowStripe"/>
    </tableStyle>
    <tableStyle count="3" pivot="0" name="MLC CU-03-style 3">
      <tableStyleElement dxfId="6" type="headerRow"/>
      <tableStyleElement dxfId="7" type="firstRowStripe"/>
      <tableStyleElement dxfId="3" type="secondRowStripe"/>
    </tableStyle>
    <tableStyle count="3" pivot="0" name="MLC CU-01-style">
      <tableStyleElement dxfId="1" type="headerRow"/>
      <tableStyleElement dxfId="2" type="firstRowStripe"/>
      <tableStyleElement dxfId="3" type="secondRowStripe"/>
    </tableStyle>
    <tableStyle count="3" pivot="0" name="MLC CU-01-style 2">
      <tableStyleElement dxfId="4" type="headerRow"/>
      <tableStyleElement dxfId="5" type="firstRowStripe"/>
      <tableStyleElement dxfId="3" type="secondRowStripe"/>
    </tableStyle>
    <tableStyle count="3" pivot="0" name="MLC CU-01-style 3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'MLC CU-02'!$B$41:$B$43</c:f>
            </c:strRef>
          </c:cat>
          <c:val>
            <c:numRef>
              <c:f>'MLC CU-02'!$C$41:$C$43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'MLC CU-03'!$B$41:$B$43</c:f>
            </c:strRef>
          </c:cat>
          <c:val>
            <c:numRef>
              <c:f>'MLC CU-03'!$C$41:$C$43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'MLC CU-01'!$B$41:$B$43</c:f>
            </c:strRef>
          </c:cat>
          <c:val>
            <c:numRef>
              <c:f>'MLC CU-01'!$C$41:$C$43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LC CU-02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LC CU-02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LC CU-02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MLC CU-03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MLC CU-03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MLC CU-03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MLC CU-01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MLC CU-01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MLC CU-0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9.86"/>
    <col customWidth="1" min="8" max="8" width="39.57"/>
    <col customWidth="1" min="9" max="9" width="9.86"/>
    <col customWidth="1" min="10" max="10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</row>
    <row r="7" ht="45.0" customHeight="1">
      <c r="B7" s="5" t="s">
        <v>3</v>
      </c>
      <c r="C7" s="6" t="s">
        <v>4</v>
      </c>
      <c r="D7" s="7"/>
      <c r="E7" s="8" t="s">
        <v>5</v>
      </c>
      <c r="F7" s="9" t="s">
        <v>6</v>
      </c>
      <c r="G7" s="8" t="s">
        <v>5</v>
      </c>
      <c r="H7" s="9" t="s">
        <v>7</v>
      </c>
      <c r="I7" s="8" t="s">
        <v>5</v>
      </c>
      <c r="J7" s="9" t="s">
        <v>8</v>
      </c>
    </row>
    <row r="8" ht="60.0" customHeight="1">
      <c r="B8" s="10"/>
      <c r="C8" s="11"/>
      <c r="D8" s="12"/>
      <c r="E8" s="10"/>
      <c r="F8" s="10"/>
      <c r="G8" s="10"/>
      <c r="H8" s="10"/>
      <c r="I8" s="10"/>
      <c r="J8" s="10"/>
    </row>
    <row r="9" ht="43.5" customHeight="1">
      <c r="B9" s="13">
        <v>1.0</v>
      </c>
      <c r="C9" s="14" t="s">
        <v>9</v>
      </c>
      <c r="D9" s="15"/>
      <c r="E9" s="16" t="s">
        <v>10</v>
      </c>
      <c r="F9" s="17" t="s">
        <v>11</v>
      </c>
      <c r="G9" s="18" t="s">
        <v>10</v>
      </c>
      <c r="H9" s="17" t="s">
        <v>12</v>
      </c>
      <c r="I9" s="18" t="s">
        <v>10</v>
      </c>
      <c r="J9" s="19" t="s">
        <v>13</v>
      </c>
    </row>
    <row r="10" ht="29.25" customHeight="1">
      <c r="B10" s="13">
        <v>2.0</v>
      </c>
      <c r="C10" s="14" t="s">
        <v>14</v>
      </c>
      <c r="D10" s="15"/>
      <c r="E10" s="16" t="s">
        <v>10</v>
      </c>
      <c r="F10" s="20" t="s">
        <v>15</v>
      </c>
      <c r="G10" s="18" t="s">
        <v>10</v>
      </c>
      <c r="H10" s="20" t="s">
        <v>16</v>
      </c>
      <c r="I10" s="18" t="s">
        <v>10</v>
      </c>
      <c r="J10" s="20" t="s">
        <v>17</v>
      </c>
    </row>
    <row r="11">
      <c r="B11" s="13">
        <v>3.0</v>
      </c>
      <c r="C11" s="21" t="s">
        <v>18</v>
      </c>
      <c r="D11" s="15"/>
      <c r="E11" s="16" t="s">
        <v>10</v>
      </c>
      <c r="F11" s="20" t="s">
        <v>19</v>
      </c>
      <c r="G11" s="18" t="s">
        <v>10</v>
      </c>
      <c r="H11" s="20" t="s">
        <v>20</v>
      </c>
      <c r="I11" s="18" t="s">
        <v>10</v>
      </c>
      <c r="J11" s="20" t="s">
        <v>21</v>
      </c>
    </row>
    <row r="12">
      <c r="B12" s="13">
        <v>4.0</v>
      </c>
      <c r="C12" s="14" t="s">
        <v>22</v>
      </c>
      <c r="D12" s="15"/>
      <c r="E12" s="22" t="s">
        <v>23</v>
      </c>
      <c r="F12" s="23" t="s">
        <v>24</v>
      </c>
      <c r="G12" s="22" t="s">
        <v>23</v>
      </c>
      <c r="H12" s="23" t="s">
        <v>24</v>
      </c>
      <c r="I12" s="22" t="s">
        <v>23</v>
      </c>
      <c r="J12" s="23" t="s">
        <v>24</v>
      </c>
    </row>
    <row r="13">
      <c r="B13" s="13">
        <v>5.0</v>
      </c>
      <c r="C13" s="14" t="s">
        <v>25</v>
      </c>
      <c r="D13" s="15"/>
      <c r="E13" s="16" t="s">
        <v>10</v>
      </c>
      <c r="F13" s="23" t="s">
        <v>26</v>
      </c>
      <c r="G13" s="22" t="s">
        <v>23</v>
      </c>
      <c r="H13" s="23" t="s">
        <v>27</v>
      </c>
      <c r="I13" s="18" t="s">
        <v>10</v>
      </c>
      <c r="J13" s="23" t="s">
        <v>28</v>
      </c>
    </row>
    <row r="14">
      <c r="B14" s="13">
        <v>6.0</v>
      </c>
      <c r="C14" s="14" t="s">
        <v>29</v>
      </c>
      <c r="D14" s="15"/>
      <c r="E14" s="16" t="s">
        <v>10</v>
      </c>
      <c r="F14" s="23" t="s">
        <v>30</v>
      </c>
      <c r="G14" s="18" t="s">
        <v>10</v>
      </c>
      <c r="H14" s="23" t="s">
        <v>31</v>
      </c>
      <c r="I14" s="18" t="s">
        <v>10</v>
      </c>
      <c r="J14" s="23" t="s">
        <v>32</v>
      </c>
    </row>
    <row r="15">
      <c r="B15" s="13">
        <v>7.0</v>
      </c>
      <c r="C15" s="14" t="s">
        <v>33</v>
      </c>
      <c r="D15" s="15"/>
      <c r="E15" s="16" t="s">
        <v>10</v>
      </c>
      <c r="F15" s="23" t="s">
        <v>34</v>
      </c>
      <c r="G15" s="18" t="s">
        <v>10</v>
      </c>
      <c r="H15" s="23" t="s">
        <v>35</v>
      </c>
      <c r="I15" s="22" t="s">
        <v>23</v>
      </c>
      <c r="J15" s="23" t="s">
        <v>36</v>
      </c>
    </row>
    <row r="16">
      <c r="B16" s="13">
        <v>8.0</v>
      </c>
      <c r="C16" s="14" t="s">
        <v>37</v>
      </c>
      <c r="D16" s="15"/>
      <c r="E16" s="22" t="s">
        <v>23</v>
      </c>
      <c r="F16" s="23" t="s">
        <v>38</v>
      </c>
      <c r="G16" s="22" t="s">
        <v>23</v>
      </c>
      <c r="H16" s="23" t="s">
        <v>39</v>
      </c>
      <c r="I16" s="22" t="s">
        <v>23</v>
      </c>
      <c r="J16" s="23" t="s">
        <v>40</v>
      </c>
    </row>
    <row r="17" ht="27.75" customHeight="1">
      <c r="B17" s="13">
        <v>9.0</v>
      </c>
      <c r="C17" s="14" t="s">
        <v>41</v>
      </c>
      <c r="D17" s="15"/>
      <c r="E17" s="16" t="s">
        <v>10</v>
      </c>
      <c r="F17" s="24" t="s">
        <v>42</v>
      </c>
      <c r="G17" s="18" t="s">
        <v>10</v>
      </c>
      <c r="H17" s="24" t="s">
        <v>43</v>
      </c>
      <c r="I17" s="18" t="s">
        <v>10</v>
      </c>
      <c r="J17" s="24" t="s">
        <v>44</v>
      </c>
    </row>
    <row r="18">
      <c r="B18" s="13">
        <v>10.0</v>
      </c>
      <c r="C18" s="14" t="s">
        <v>45</v>
      </c>
      <c r="D18" s="15"/>
      <c r="E18" s="16" t="s">
        <v>10</v>
      </c>
      <c r="F18" s="23" t="s">
        <v>46</v>
      </c>
      <c r="G18" s="18" t="s">
        <v>10</v>
      </c>
      <c r="H18" s="23" t="s">
        <v>47</v>
      </c>
      <c r="I18" s="22" t="s">
        <v>23</v>
      </c>
      <c r="J18" s="23" t="s">
        <v>48</v>
      </c>
    </row>
    <row r="19">
      <c r="B19" s="13">
        <v>11.0</v>
      </c>
      <c r="C19" s="14" t="s">
        <v>49</v>
      </c>
      <c r="D19" s="15"/>
      <c r="E19" s="16" t="s">
        <v>10</v>
      </c>
      <c r="F19" s="23" t="s">
        <v>50</v>
      </c>
      <c r="G19" s="18" t="s">
        <v>10</v>
      </c>
      <c r="H19" s="23" t="s">
        <v>51</v>
      </c>
      <c r="I19" s="18" t="s">
        <v>10</v>
      </c>
      <c r="J19" s="23" t="s">
        <v>52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7:H8"/>
    <mergeCell ref="I7:I8"/>
    <mergeCell ref="C3:F4"/>
    <mergeCell ref="E5:J5"/>
    <mergeCell ref="B7:B8"/>
    <mergeCell ref="E7:E8"/>
    <mergeCell ref="F7:F8"/>
    <mergeCell ref="G7:G8"/>
    <mergeCell ref="J7:J8"/>
    <mergeCell ref="C15:D15"/>
    <mergeCell ref="C16:D16"/>
    <mergeCell ref="C17:D17"/>
    <mergeCell ref="C18:D18"/>
    <mergeCell ref="C19:D19"/>
    <mergeCell ref="C7:D8"/>
    <mergeCell ref="C9:D9"/>
    <mergeCell ref="C10:D10"/>
    <mergeCell ref="C11:D11"/>
    <mergeCell ref="C12:D12"/>
    <mergeCell ref="C13:D13"/>
    <mergeCell ref="C14:D14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57"/>
    <col customWidth="1" min="3" max="3" width="16.14"/>
    <col customWidth="1" min="4" max="24" width="10.71"/>
  </cols>
  <sheetData>
    <row r="1" ht="51.0" customHeight="1">
      <c r="A1" s="25"/>
      <c r="B1" s="26" t="s">
        <v>1</v>
      </c>
      <c r="C1" s="27" t="s">
        <v>53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52.5" customHeight="1">
      <c r="B2" s="28" t="s">
        <v>54</v>
      </c>
      <c r="C2" s="29">
        <v>46126.0</v>
      </c>
    </row>
    <row r="3" ht="38.25" customHeight="1">
      <c r="B3" s="28" t="s">
        <v>55</v>
      </c>
      <c r="C3" s="30" t="s">
        <v>56</v>
      </c>
    </row>
    <row r="4" ht="41.25" customHeight="1">
      <c r="B4" s="31" t="s">
        <v>57</v>
      </c>
      <c r="C4" s="30" t="s">
        <v>58</v>
      </c>
    </row>
    <row r="5" ht="14.25" customHeight="1"/>
    <row r="6" ht="18.0" customHeight="1">
      <c r="A6" s="32" t="s">
        <v>59</v>
      </c>
    </row>
    <row r="7" ht="15.0" customHeight="1">
      <c r="A7" s="33" t="s">
        <v>60</v>
      </c>
      <c r="B7" s="34" t="s">
        <v>61</v>
      </c>
      <c r="C7" s="34" t="s">
        <v>62</v>
      </c>
      <c r="D7" s="35" t="s">
        <v>63</v>
      </c>
    </row>
    <row r="8" ht="30.75" customHeight="1">
      <c r="A8" s="36">
        <v>1.0</v>
      </c>
      <c r="B8" s="37" t="s">
        <v>64</v>
      </c>
      <c r="C8" s="38" t="s">
        <v>65</v>
      </c>
      <c r="D8" s="39"/>
    </row>
    <row r="9" ht="26.25" customHeight="1">
      <c r="A9" s="36">
        <v>2.0</v>
      </c>
      <c r="B9" s="37" t="s">
        <v>66</v>
      </c>
      <c r="C9" s="38" t="s">
        <v>65</v>
      </c>
      <c r="D9" s="39"/>
    </row>
    <row r="10" ht="30.0" customHeight="1">
      <c r="A10" s="36">
        <v>3.0</v>
      </c>
      <c r="B10" s="37" t="s">
        <v>67</v>
      </c>
      <c r="C10" s="38" t="s">
        <v>65</v>
      </c>
      <c r="D10" s="39"/>
    </row>
    <row r="11" ht="28.5" customHeight="1">
      <c r="A11" s="36">
        <v>4.0</v>
      </c>
      <c r="B11" s="37" t="s">
        <v>68</v>
      </c>
      <c r="C11" s="38" t="s">
        <v>65</v>
      </c>
      <c r="D11" s="39"/>
    </row>
    <row r="12" ht="36.75" customHeight="1">
      <c r="A12" s="36">
        <v>5.0</v>
      </c>
      <c r="B12" s="37" t="s">
        <v>69</v>
      </c>
      <c r="C12" s="38" t="s">
        <v>65</v>
      </c>
      <c r="D12" s="39"/>
    </row>
    <row r="13" ht="26.25" customHeight="1">
      <c r="A13" s="36">
        <v>6.0</v>
      </c>
      <c r="B13" s="37" t="s">
        <v>70</v>
      </c>
      <c r="C13" s="38" t="s">
        <v>65</v>
      </c>
      <c r="D13" s="39"/>
    </row>
    <row r="14" ht="27.0" customHeight="1">
      <c r="A14" s="36">
        <v>7.0</v>
      </c>
      <c r="B14" s="37" t="s">
        <v>71</v>
      </c>
      <c r="C14" s="38" t="s">
        <v>65</v>
      </c>
      <c r="D14" s="39"/>
    </row>
    <row r="15" ht="29.25" customHeight="1">
      <c r="A15" s="36">
        <v>8.0</v>
      </c>
      <c r="B15" s="37" t="s">
        <v>72</v>
      </c>
      <c r="C15" s="38" t="s">
        <v>65</v>
      </c>
      <c r="D15" s="40"/>
    </row>
    <row r="16" ht="57.75" customHeight="1">
      <c r="A16" s="41">
        <v>9.0</v>
      </c>
      <c r="B16" s="42" t="s">
        <v>73</v>
      </c>
      <c r="C16" s="43"/>
      <c r="D16" s="43" t="s">
        <v>65</v>
      </c>
    </row>
    <row r="17" ht="14.25" customHeight="1">
      <c r="A17" s="44" t="s">
        <v>74</v>
      </c>
      <c r="C17" s="45">
        <f>COUNTA('MLC CU-02'!$C$8:$C$16)</f>
        <v>8</v>
      </c>
      <c r="D17" s="45">
        <f>COUNTA('MLC CU-02'!$D$8:$D$16)</f>
        <v>1</v>
      </c>
    </row>
    <row r="18" ht="14.25" customHeight="1">
      <c r="A18" s="44" t="s">
        <v>75</v>
      </c>
      <c r="C18" s="46">
        <f t="shared" ref="C18:D18" si="1">C17/9</f>
        <v>0.8888888889</v>
      </c>
      <c r="D18" s="46">
        <f t="shared" si="1"/>
        <v>0.1111111111</v>
      </c>
    </row>
    <row r="19" ht="14.25" customHeight="1">
      <c r="A19" s="44"/>
      <c r="B19" s="44"/>
      <c r="C19" s="46"/>
      <c r="D19" s="45"/>
    </row>
    <row r="20" ht="24.75" customHeight="1">
      <c r="A20" s="47" t="s">
        <v>76</v>
      </c>
      <c r="B20" s="48"/>
      <c r="C20" s="48"/>
      <c r="D20" s="48"/>
    </row>
    <row r="21" ht="21.75" customHeight="1">
      <c r="A21" s="49" t="s">
        <v>60</v>
      </c>
      <c r="B21" s="50" t="s">
        <v>61</v>
      </c>
      <c r="C21" s="51" t="s">
        <v>62</v>
      </c>
      <c r="D21" s="52" t="s">
        <v>63</v>
      </c>
    </row>
    <row r="22" ht="32.25" customHeight="1">
      <c r="A22" s="36">
        <v>1.0</v>
      </c>
      <c r="B22" s="37" t="s">
        <v>77</v>
      </c>
      <c r="C22" s="43" t="s">
        <v>65</v>
      </c>
      <c r="D22" s="39"/>
    </row>
    <row r="23" ht="28.5" customHeight="1">
      <c r="A23" s="36">
        <v>2.0</v>
      </c>
      <c r="B23" s="37" t="s">
        <v>78</v>
      </c>
      <c r="C23" s="43" t="s">
        <v>65</v>
      </c>
      <c r="D23" s="39"/>
    </row>
    <row r="24" ht="21.0" customHeight="1">
      <c r="A24" s="36">
        <v>3.0</v>
      </c>
      <c r="B24" s="37" t="s">
        <v>79</v>
      </c>
      <c r="C24" s="43" t="s">
        <v>65</v>
      </c>
      <c r="D24" s="39"/>
    </row>
    <row r="25" ht="32.25" customHeight="1">
      <c r="A25" s="36">
        <v>4.0</v>
      </c>
      <c r="B25" s="37" t="s">
        <v>80</v>
      </c>
      <c r="C25" s="43" t="s">
        <v>65</v>
      </c>
      <c r="D25" s="39"/>
    </row>
    <row r="26" ht="21.0" customHeight="1">
      <c r="A26" s="41">
        <v>5.0</v>
      </c>
      <c r="B26" s="42" t="s">
        <v>81</v>
      </c>
      <c r="C26" s="43" t="s">
        <v>65</v>
      </c>
      <c r="D26" s="53"/>
    </row>
    <row r="27" ht="14.25" customHeight="1">
      <c r="A27" s="44" t="s">
        <v>74</v>
      </c>
      <c r="C27" s="45">
        <f>COUNTA('MLC CU-02'!$C$22:$C$26)</f>
        <v>5</v>
      </c>
      <c r="D27" s="45">
        <f>COUNTA('MLC CU-02'!$D$22:$D$26)</f>
        <v>0</v>
      </c>
    </row>
    <row r="28" ht="14.25" customHeight="1">
      <c r="A28" s="44" t="s">
        <v>75</v>
      </c>
      <c r="C28" s="46">
        <f t="shared" ref="C28:D28" si="2">C27/5</f>
        <v>1</v>
      </c>
      <c r="D28" s="46">
        <f t="shared" si="2"/>
        <v>0</v>
      </c>
    </row>
    <row r="29" ht="14.25" customHeight="1">
      <c r="A29" s="44"/>
      <c r="B29" s="44"/>
      <c r="C29" s="46"/>
      <c r="D29" s="45"/>
    </row>
    <row r="30" ht="20.25" customHeight="1">
      <c r="A30" s="32" t="s">
        <v>82</v>
      </c>
    </row>
    <row r="31" ht="20.25" customHeight="1">
      <c r="A31" s="49" t="s">
        <v>60</v>
      </c>
      <c r="B31" s="50" t="s">
        <v>61</v>
      </c>
      <c r="C31" s="51" t="s">
        <v>62</v>
      </c>
      <c r="D31" s="52" t="s">
        <v>63</v>
      </c>
    </row>
    <row r="32" ht="30.75" customHeight="1">
      <c r="A32" s="36">
        <v>1.0</v>
      </c>
      <c r="B32" s="37" t="s">
        <v>83</v>
      </c>
      <c r="C32" s="43" t="s">
        <v>65</v>
      </c>
      <c r="D32" s="43"/>
    </row>
    <row r="33" ht="30.75" customHeight="1">
      <c r="A33" s="36">
        <v>2.0</v>
      </c>
      <c r="B33" s="37" t="s">
        <v>84</v>
      </c>
      <c r="C33" s="43"/>
      <c r="D33" s="54" t="s">
        <v>85</v>
      </c>
    </row>
    <row r="34" ht="30.0" customHeight="1">
      <c r="A34" s="41">
        <v>3.0</v>
      </c>
      <c r="B34" s="42" t="s">
        <v>86</v>
      </c>
      <c r="C34" s="43"/>
      <c r="D34" s="54" t="s">
        <v>85</v>
      </c>
    </row>
    <row r="35" ht="14.25" customHeight="1">
      <c r="A35" s="44" t="s">
        <v>74</v>
      </c>
      <c r="C35" s="45">
        <f>COUNTA('MLC CU-02'!$C$32:$C$34)</f>
        <v>1</v>
      </c>
      <c r="D35" s="45">
        <f>COUNTA('MLC CU-02'!$D$32:$D$34)</f>
        <v>2</v>
      </c>
    </row>
    <row r="36" ht="14.25" customHeight="1">
      <c r="A36" s="44" t="s">
        <v>75</v>
      </c>
      <c r="C36" s="46">
        <f t="shared" ref="C36:D36" si="3">C35/3</f>
        <v>0.3333333333</v>
      </c>
      <c r="D36" s="46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5" t="s">
        <v>87</v>
      </c>
    </row>
    <row r="41" ht="30.0" customHeight="1">
      <c r="B41" s="25" t="s">
        <v>88</v>
      </c>
      <c r="C41" s="45">
        <v>89.0</v>
      </c>
    </row>
    <row r="42" ht="30.0" customHeight="1">
      <c r="B42" s="25" t="s">
        <v>76</v>
      </c>
      <c r="C42" s="45">
        <v>100.0</v>
      </c>
    </row>
    <row r="43" ht="30.0" customHeight="1">
      <c r="B43" s="25" t="s">
        <v>82</v>
      </c>
      <c r="C43" s="45">
        <v>100.0</v>
      </c>
    </row>
    <row r="44" ht="14.25" customHeight="1">
      <c r="C44" s="45"/>
    </row>
    <row r="45" ht="14.25" customHeight="1">
      <c r="C45" s="4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57"/>
    <col customWidth="1" min="3" max="3" width="16.14"/>
    <col customWidth="1" min="4" max="24" width="10.71"/>
  </cols>
  <sheetData>
    <row r="1" ht="51.0" customHeight="1">
      <c r="A1" s="25"/>
      <c r="B1" s="26" t="s">
        <v>1</v>
      </c>
      <c r="C1" s="27" t="s">
        <v>53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52.5" customHeight="1">
      <c r="B2" s="28" t="s">
        <v>54</v>
      </c>
      <c r="C2" s="29">
        <v>46126.0</v>
      </c>
    </row>
    <row r="3" ht="38.25" customHeight="1">
      <c r="B3" s="28" t="s">
        <v>55</v>
      </c>
      <c r="C3" s="30" t="s">
        <v>89</v>
      </c>
    </row>
    <row r="4" ht="41.25" customHeight="1">
      <c r="B4" s="31" t="s">
        <v>57</v>
      </c>
      <c r="C4" s="30" t="s">
        <v>90</v>
      </c>
    </row>
    <row r="5" ht="14.25" customHeight="1"/>
    <row r="6" ht="18.0" customHeight="1">
      <c r="A6" s="32" t="s">
        <v>59</v>
      </c>
    </row>
    <row r="7" ht="15.0" customHeight="1">
      <c r="A7" s="33" t="s">
        <v>60</v>
      </c>
      <c r="B7" s="34" t="s">
        <v>61</v>
      </c>
      <c r="C7" s="34" t="s">
        <v>62</v>
      </c>
      <c r="D7" s="35" t="s">
        <v>63</v>
      </c>
    </row>
    <row r="8" ht="30.75" customHeight="1">
      <c r="A8" s="36">
        <v>1.0</v>
      </c>
      <c r="B8" s="37" t="s">
        <v>64</v>
      </c>
      <c r="C8" s="38" t="s">
        <v>65</v>
      </c>
      <c r="D8" s="39"/>
    </row>
    <row r="9" ht="26.25" customHeight="1">
      <c r="A9" s="36">
        <v>2.0</v>
      </c>
      <c r="B9" s="37" t="s">
        <v>66</v>
      </c>
      <c r="C9" s="38" t="s">
        <v>65</v>
      </c>
      <c r="D9" s="39"/>
    </row>
    <row r="10" ht="30.0" customHeight="1">
      <c r="A10" s="36">
        <v>3.0</v>
      </c>
      <c r="B10" s="37" t="s">
        <v>67</v>
      </c>
      <c r="C10" s="38" t="s">
        <v>65</v>
      </c>
      <c r="D10" s="39"/>
    </row>
    <row r="11" ht="28.5" customHeight="1">
      <c r="A11" s="36">
        <v>4.0</v>
      </c>
      <c r="B11" s="37" t="s">
        <v>68</v>
      </c>
      <c r="C11" s="38" t="s">
        <v>65</v>
      </c>
      <c r="D11" s="39"/>
    </row>
    <row r="12" ht="36.75" customHeight="1">
      <c r="A12" s="36">
        <v>5.0</v>
      </c>
      <c r="B12" s="37" t="s">
        <v>69</v>
      </c>
      <c r="C12" s="38" t="s">
        <v>65</v>
      </c>
      <c r="D12" s="39"/>
    </row>
    <row r="13" ht="26.25" customHeight="1">
      <c r="A13" s="36">
        <v>6.0</v>
      </c>
      <c r="B13" s="37" t="s">
        <v>70</v>
      </c>
      <c r="C13" s="38" t="s">
        <v>65</v>
      </c>
      <c r="D13" s="39"/>
    </row>
    <row r="14" ht="27.0" customHeight="1">
      <c r="A14" s="36">
        <v>7.0</v>
      </c>
      <c r="B14" s="37" t="s">
        <v>71</v>
      </c>
      <c r="C14" s="38" t="s">
        <v>65</v>
      </c>
      <c r="D14" s="39"/>
    </row>
    <row r="15" ht="29.25" customHeight="1">
      <c r="A15" s="36">
        <v>8.0</v>
      </c>
      <c r="B15" s="37" t="s">
        <v>72</v>
      </c>
      <c r="C15" s="38" t="s">
        <v>65</v>
      </c>
      <c r="D15" s="40"/>
    </row>
    <row r="16" ht="57.75" customHeight="1">
      <c r="A16" s="41">
        <v>9.0</v>
      </c>
      <c r="B16" s="42" t="s">
        <v>73</v>
      </c>
      <c r="C16" s="43"/>
      <c r="D16" s="43" t="s">
        <v>65</v>
      </c>
    </row>
    <row r="17" ht="14.25" customHeight="1">
      <c r="A17" s="44" t="s">
        <v>74</v>
      </c>
      <c r="C17" s="45">
        <f>COUNTA('MLC CU-03'!$C$8:$C$16)</f>
        <v>8</v>
      </c>
      <c r="D17" s="45">
        <f>COUNTA('MLC CU-03'!$D$8:$D$16)</f>
        <v>1</v>
      </c>
    </row>
    <row r="18" ht="14.25" customHeight="1">
      <c r="A18" s="44" t="s">
        <v>75</v>
      </c>
      <c r="C18" s="46">
        <f t="shared" ref="C18:D18" si="1">C17/9</f>
        <v>0.8888888889</v>
      </c>
      <c r="D18" s="46">
        <f t="shared" si="1"/>
        <v>0.1111111111</v>
      </c>
    </row>
    <row r="19" ht="14.25" customHeight="1">
      <c r="A19" s="44"/>
      <c r="B19" s="44"/>
      <c r="C19" s="46"/>
      <c r="D19" s="45"/>
    </row>
    <row r="20" ht="24.75" customHeight="1">
      <c r="A20" s="47" t="s">
        <v>76</v>
      </c>
      <c r="B20" s="48"/>
      <c r="C20" s="48"/>
      <c r="D20" s="48"/>
    </row>
    <row r="21" ht="21.75" customHeight="1">
      <c r="A21" s="49" t="s">
        <v>60</v>
      </c>
      <c r="B21" s="50" t="s">
        <v>61</v>
      </c>
      <c r="C21" s="51" t="s">
        <v>62</v>
      </c>
      <c r="D21" s="52" t="s">
        <v>63</v>
      </c>
    </row>
    <row r="22" ht="32.25" customHeight="1">
      <c r="A22" s="36">
        <v>1.0</v>
      </c>
      <c r="B22" s="37" t="s">
        <v>77</v>
      </c>
      <c r="C22" s="43" t="s">
        <v>65</v>
      </c>
      <c r="D22" s="39"/>
    </row>
    <row r="23" ht="28.5" customHeight="1">
      <c r="A23" s="36">
        <v>2.0</v>
      </c>
      <c r="B23" s="37" t="s">
        <v>78</v>
      </c>
      <c r="C23" s="43" t="s">
        <v>65</v>
      </c>
      <c r="D23" s="39"/>
    </row>
    <row r="24" ht="21.0" customHeight="1">
      <c r="A24" s="36">
        <v>3.0</v>
      </c>
      <c r="B24" s="37" t="s">
        <v>79</v>
      </c>
      <c r="C24" s="43" t="s">
        <v>65</v>
      </c>
      <c r="D24" s="39"/>
    </row>
    <row r="25" ht="32.25" customHeight="1">
      <c r="A25" s="36">
        <v>4.0</v>
      </c>
      <c r="B25" s="37" t="s">
        <v>80</v>
      </c>
      <c r="C25" s="43" t="s">
        <v>65</v>
      </c>
      <c r="D25" s="39"/>
    </row>
    <row r="26" ht="21.0" customHeight="1">
      <c r="A26" s="41">
        <v>5.0</v>
      </c>
      <c r="B26" s="42" t="s">
        <v>81</v>
      </c>
      <c r="C26" s="43" t="s">
        <v>65</v>
      </c>
      <c r="D26" s="53"/>
    </row>
    <row r="27" ht="14.25" customHeight="1">
      <c r="A27" s="44" t="s">
        <v>74</v>
      </c>
      <c r="C27" s="45">
        <f>COUNTA('MLC CU-03'!$C$22:$C$26)</f>
        <v>5</v>
      </c>
      <c r="D27" s="45">
        <f>COUNTA('MLC CU-03'!$D$22:$D$26)</f>
        <v>0</v>
      </c>
    </row>
    <row r="28" ht="14.25" customHeight="1">
      <c r="A28" s="44" t="s">
        <v>75</v>
      </c>
      <c r="C28" s="46">
        <f t="shared" ref="C28:D28" si="2">C27/5</f>
        <v>1</v>
      </c>
      <c r="D28" s="46">
        <f t="shared" si="2"/>
        <v>0</v>
      </c>
    </row>
    <row r="29" ht="14.25" customHeight="1">
      <c r="A29" s="44"/>
      <c r="B29" s="44"/>
      <c r="C29" s="46"/>
      <c r="D29" s="45"/>
    </row>
    <row r="30" ht="20.25" customHeight="1">
      <c r="A30" s="32" t="s">
        <v>82</v>
      </c>
    </row>
    <row r="31" ht="20.25" customHeight="1">
      <c r="A31" s="49" t="s">
        <v>60</v>
      </c>
      <c r="B31" s="50" t="s">
        <v>61</v>
      </c>
      <c r="C31" s="51" t="s">
        <v>62</v>
      </c>
      <c r="D31" s="52" t="s">
        <v>63</v>
      </c>
    </row>
    <row r="32" ht="30.75" customHeight="1">
      <c r="A32" s="36">
        <v>1.0</v>
      </c>
      <c r="B32" s="37" t="s">
        <v>83</v>
      </c>
      <c r="C32" s="43" t="s">
        <v>65</v>
      </c>
      <c r="D32" s="43"/>
    </row>
    <row r="33" ht="30.75" customHeight="1">
      <c r="A33" s="36">
        <v>2.0</v>
      </c>
      <c r="B33" s="37" t="s">
        <v>84</v>
      </c>
      <c r="C33" s="43"/>
      <c r="D33" s="54" t="s">
        <v>85</v>
      </c>
    </row>
    <row r="34" ht="30.0" customHeight="1">
      <c r="A34" s="41">
        <v>3.0</v>
      </c>
      <c r="B34" s="42" t="s">
        <v>86</v>
      </c>
      <c r="C34" s="43"/>
      <c r="D34" s="54" t="s">
        <v>85</v>
      </c>
    </row>
    <row r="35" ht="14.25" customHeight="1">
      <c r="A35" s="44" t="s">
        <v>74</v>
      </c>
      <c r="C35" s="45">
        <f>COUNTA('MLC CU-03'!$C$32:$C$34)</f>
        <v>1</v>
      </c>
      <c r="D35" s="45">
        <f>COUNTA('MLC CU-03'!$D$32:$D$34)</f>
        <v>2</v>
      </c>
    </row>
    <row r="36" ht="14.25" customHeight="1">
      <c r="A36" s="44" t="s">
        <v>75</v>
      </c>
      <c r="C36" s="46">
        <f t="shared" ref="C36:D36" si="3">C35/3</f>
        <v>0.3333333333</v>
      </c>
      <c r="D36" s="46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5" t="s">
        <v>87</v>
      </c>
    </row>
    <row r="41" ht="30.0" customHeight="1">
      <c r="B41" s="25" t="s">
        <v>88</v>
      </c>
      <c r="C41" s="45">
        <v>89.0</v>
      </c>
    </row>
    <row r="42" ht="30.0" customHeight="1">
      <c r="B42" s="25" t="s">
        <v>76</v>
      </c>
      <c r="C42" s="45">
        <v>100.0</v>
      </c>
    </row>
    <row r="43" ht="30.0" customHeight="1">
      <c r="B43" s="25" t="s">
        <v>82</v>
      </c>
      <c r="C43" s="45">
        <v>100.0</v>
      </c>
    </row>
    <row r="44" ht="14.25" customHeight="1">
      <c r="C44" s="45"/>
    </row>
    <row r="45" ht="14.25" customHeight="1">
      <c r="C45" s="4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57"/>
    <col customWidth="1" min="3" max="3" width="16.14"/>
    <col customWidth="1" min="4" max="24" width="10.71"/>
  </cols>
  <sheetData>
    <row r="1" ht="51.0" customHeight="1">
      <c r="A1" s="25"/>
      <c r="B1" s="26" t="s">
        <v>1</v>
      </c>
      <c r="C1" s="27" t="s">
        <v>53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52.5" customHeight="1">
      <c r="B2" s="28" t="s">
        <v>54</v>
      </c>
      <c r="C2" s="29">
        <v>46126.0</v>
      </c>
    </row>
    <row r="3" ht="38.25" customHeight="1">
      <c r="B3" s="28" t="s">
        <v>55</v>
      </c>
      <c r="C3" s="30" t="s">
        <v>91</v>
      </c>
    </row>
    <row r="4" ht="41.25" customHeight="1">
      <c r="B4" s="31" t="s">
        <v>57</v>
      </c>
      <c r="C4" s="30" t="s">
        <v>92</v>
      </c>
    </row>
    <row r="5" ht="14.25" customHeight="1"/>
    <row r="6" ht="18.0" customHeight="1">
      <c r="A6" s="32" t="s">
        <v>59</v>
      </c>
    </row>
    <row r="7" ht="15.0" customHeight="1">
      <c r="A7" s="33" t="s">
        <v>60</v>
      </c>
      <c r="B7" s="34" t="s">
        <v>61</v>
      </c>
      <c r="C7" s="34" t="s">
        <v>62</v>
      </c>
      <c r="D7" s="35" t="s">
        <v>63</v>
      </c>
    </row>
    <row r="8" ht="30.75" customHeight="1">
      <c r="A8" s="36">
        <v>1.0</v>
      </c>
      <c r="B8" s="37" t="s">
        <v>64</v>
      </c>
      <c r="C8" s="38" t="s">
        <v>65</v>
      </c>
      <c r="D8" s="39"/>
    </row>
    <row r="9" ht="26.25" customHeight="1">
      <c r="A9" s="36">
        <v>2.0</v>
      </c>
      <c r="B9" s="37" t="s">
        <v>66</v>
      </c>
      <c r="C9" s="56" t="s">
        <v>85</v>
      </c>
      <c r="D9" s="40"/>
    </row>
    <row r="10" ht="30.0" customHeight="1">
      <c r="A10" s="36">
        <v>3.0</v>
      </c>
      <c r="B10" s="37" t="s">
        <v>67</v>
      </c>
      <c r="C10" s="38" t="s">
        <v>65</v>
      </c>
      <c r="D10" s="39"/>
    </row>
    <row r="11" ht="28.5" customHeight="1">
      <c r="A11" s="36">
        <v>4.0</v>
      </c>
      <c r="B11" s="37" t="s">
        <v>68</v>
      </c>
      <c r="C11" s="38" t="s">
        <v>65</v>
      </c>
      <c r="D11" s="39"/>
    </row>
    <row r="12" ht="36.75" customHeight="1">
      <c r="A12" s="36">
        <v>5.0</v>
      </c>
      <c r="B12" s="37" t="s">
        <v>69</v>
      </c>
      <c r="C12" s="38" t="s">
        <v>65</v>
      </c>
      <c r="D12" s="39"/>
    </row>
    <row r="13" ht="26.25" customHeight="1">
      <c r="A13" s="36">
        <v>6.0</v>
      </c>
      <c r="B13" s="37" t="s">
        <v>70</v>
      </c>
      <c r="C13" s="38" t="s">
        <v>65</v>
      </c>
      <c r="D13" s="39"/>
    </row>
    <row r="14" ht="27.0" customHeight="1">
      <c r="A14" s="36">
        <v>7.0</v>
      </c>
      <c r="B14" s="37" t="s">
        <v>71</v>
      </c>
      <c r="C14" s="56" t="s">
        <v>85</v>
      </c>
      <c r="D14" s="40"/>
    </row>
    <row r="15" ht="29.25" customHeight="1">
      <c r="A15" s="36">
        <v>8.0</v>
      </c>
      <c r="B15" s="37" t="s">
        <v>72</v>
      </c>
      <c r="C15" s="38" t="s">
        <v>65</v>
      </c>
      <c r="D15" s="40"/>
    </row>
    <row r="16" ht="57.75" customHeight="1">
      <c r="A16" s="41">
        <v>9.0</v>
      </c>
      <c r="B16" s="42" t="s">
        <v>73</v>
      </c>
      <c r="C16" s="54"/>
      <c r="D16" s="54" t="s">
        <v>85</v>
      </c>
    </row>
    <row r="17" ht="14.25" customHeight="1">
      <c r="A17" s="44" t="s">
        <v>74</v>
      </c>
      <c r="C17" s="45">
        <f>COUNTA('MLC CU-01'!$C$8:$C$16)</f>
        <v>8</v>
      </c>
      <c r="D17" s="45">
        <f>COUNTA('MLC CU-01'!$D$8:$D$16)</f>
        <v>1</v>
      </c>
    </row>
    <row r="18" ht="14.25" customHeight="1">
      <c r="A18" s="44" t="s">
        <v>75</v>
      </c>
      <c r="C18" s="46">
        <f t="shared" ref="C18:D18" si="1">C17/9</f>
        <v>0.8888888889</v>
      </c>
      <c r="D18" s="46">
        <f t="shared" si="1"/>
        <v>0.1111111111</v>
      </c>
    </row>
    <row r="19" ht="14.25" customHeight="1">
      <c r="A19" s="44"/>
      <c r="B19" s="44"/>
      <c r="C19" s="46"/>
      <c r="D19" s="45"/>
    </row>
    <row r="20" ht="24.75" customHeight="1">
      <c r="A20" s="47" t="s">
        <v>76</v>
      </c>
      <c r="B20" s="48"/>
      <c r="C20" s="48"/>
      <c r="D20" s="48"/>
    </row>
    <row r="21" ht="21.75" customHeight="1">
      <c r="A21" s="49" t="s">
        <v>60</v>
      </c>
      <c r="B21" s="50" t="s">
        <v>61</v>
      </c>
      <c r="C21" s="51" t="s">
        <v>62</v>
      </c>
      <c r="D21" s="52" t="s">
        <v>63</v>
      </c>
    </row>
    <row r="22" ht="32.25" customHeight="1">
      <c r="A22" s="36">
        <v>1.0</v>
      </c>
      <c r="B22" s="37" t="s">
        <v>77</v>
      </c>
      <c r="C22" s="43" t="s">
        <v>65</v>
      </c>
      <c r="D22" s="39"/>
    </row>
    <row r="23" ht="28.5" customHeight="1">
      <c r="A23" s="36">
        <v>2.0</v>
      </c>
      <c r="B23" s="37" t="s">
        <v>78</v>
      </c>
      <c r="C23" s="43" t="s">
        <v>65</v>
      </c>
      <c r="D23" s="39"/>
    </row>
    <row r="24" ht="21.0" customHeight="1">
      <c r="A24" s="36">
        <v>3.0</v>
      </c>
      <c r="B24" s="37" t="s">
        <v>79</v>
      </c>
      <c r="C24" s="43" t="s">
        <v>65</v>
      </c>
      <c r="D24" s="39"/>
    </row>
    <row r="25" ht="32.25" customHeight="1">
      <c r="A25" s="36">
        <v>4.0</v>
      </c>
      <c r="B25" s="37" t="s">
        <v>80</v>
      </c>
      <c r="C25" s="43" t="s">
        <v>65</v>
      </c>
      <c r="D25" s="39"/>
    </row>
    <row r="26" ht="21.0" customHeight="1">
      <c r="A26" s="41">
        <v>5.0</v>
      </c>
      <c r="B26" s="42" t="s">
        <v>81</v>
      </c>
      <c r="C26" s="43" t="s">
        <v>65</v>
      </c>
      <c r="D26" s="53"/>
    </row>
    <row r="27" ht="14.25" customHeight="1">
      <c r="A27" s="44" t="s">
        <v>74</v>
      </c>
      <c r="C27" s="45">
        <f>COUNTA('MLC CU-01'!$C$22:$C$26)</f>
        <v>5</v>
      </c>
      <c r="D27" s="45">
        <f>COUNTA('MLC CU-01'!$D$22:$D$26)</f>
        <v>0</v>
      </c>
    </row>
    <row r="28" ht="14.25" customHeight="1">
      <c r="A28" s="44" t="s">
        <v>75</v>
      </c>
      <c r="C28" s="46">
        <f t="shared" ref="C28:D28" si="2">C27/5</f>
        <v>1</v>
      </c>
      <c r="D28" s="46">
        <f t="shared" si="2"/>
        <v>0</v>
      </c>
    </row>
    <row r="29" ht="14.25" customHeight="1">
      <c r="A29" s="44"/>
      <c r="B29" s="44"/>
      <c r="C29" s="46"/>
      <c r="D29" s="45"/>
    </row>
    <row r="30" ht="20.25" customHeight="1">
      <c r="A30" s="32" t="s">
        <v>82</v>
      </c>
    </row>
    <row r="31" ht="20.25" customHeight="1">
      <c r="A31" s="49" t="s">
        <v>60</v>
      </c>
      <c r="B31" s="50" t="s">
        <v>61</v>
      </c>
      <c r="C31" s="51" t="s">
        <v>62</v>
      </c>
      <c r="D31" s="52" t="s">
        <v>63</v>
      </c>
    </row>
    <row r="32" ht="30.75" customHeight="1">
      <c r="A32" s="36">
        <v>1.0</v>
      </c>
      <c r="B32" s="37" t="s">
        <v>83</v>
      </c>
      <c r="C32" s="43" t="s">
        <v>65</v>
      </c>
      <c r="D32" s="43"/>
    </row>
    <row r="33" ht="30.75" customHeight="1">
      <c r="A33" s="36">
        <v>2.0</v>
      </c>
      <c r="B33" s="37" t="s">
        <v>84</v>
      </c>
      <c r="C33" s="43"/>
      <c r="D33" s="54" t="s">
        <v>85</v>
      </c>
    </row>
    <row r="34" ht="30.0" customHeight="1">
      <c r="A34" s="41">
        <v>3.0</v>
      </c>
      <c r="B34" s="42" t="s">
        <v>86</v>
      </c>
      <c r="C34" s="43"/>
      <c r="D34" s="54" t="s">
        <v>85</v>
      </c>
    </row>
    <row r="35" ht="14.25" customHeight="1">
      <c r="A35" s="44" t="s">
        <v>74</v>
      </c>
      <c r="C35" s="45">
        <f>COUNTA('MLC CU-01'!$C$32:$C$34)</f>
        <v>1</v>
      </c>
      <c r="D35" s="45">
        <f>COUNTA('MLC CU-01'!$D$32:$D$34)</f>
        <v>2</v>
      </c>
    </row>
    <row r="36" ht="14.25" customHeight="1">
      <c r="A36" s="44" t="s">
        <v>75</v>
      </c>
      <c r="C36" s="46">
        <f t="shared" ref="C36:D36" si="3">C35/3</f>
        <v>0.3333333333</v>
      </c>
      <c r="D36" s="46">
        <f t="shared" si="3"/>
        <v>0.6666666667</v>
      </c>
    </row>
    <row r="37" ht="14.25" customHeight="1"/>
    <row r="38" ht="14.25" customHeight="1"/>
    <row r="39" ht="14.25" customHeight="1"/>
    <row r="40" ht="14.25" customHeight="1">
      <c r="A40" s="55" t="s">
        <v>87</v>
      </c>
    </row>
    <row r="41" ht="30.0" customHeight="1">
      <c r="B41" s="25" t="s">
        <v>88</v>
      </c>
      <c r="C41" s="45">
        <v>89.0</v>
      </c>
    </row>
    <row r="42" ht="30.0" customHeight="1">
      <c r="B42" s="25" t="s">
        <v>76</v>
      </c>
      <c r="C42" s="45">
        <v>100.0</v>
      </c>
    </row>
    <row r="43" ht="30.0" customHeight="1">
      <c r="B43" s="25" t="s">
        <v>82</v>
      </c>
      <c r="C43" s="45">
        <v>100.0</v>
      </c>
    </row>
    <row r="44" ht="14.25" customHeight="1">
      <c r="C44" s="45"/>
    </row>
    <row r="45" ht="14.25" customHeight="1">
      <c r="C45" s="4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55.29"/>
    <col customWidth="1" min="3" max="3" width="66.43"/>
    <col customWidth="1" min="4" max="5" width="10.71"/>
  </cols>
  <sheetData>
    <row r="1" ht="14.25" customHeight="1">
      <c r="A1" s="57" t="s">
        <v>93</v>
      </c>
    </row>
    <row r="2" ht="14.25" customHeight="1">
      <c r="A2" s="58" t="s">
        <v>60</v>
      </c>
      <c r="B2" s="58" t="s">
        <v>94</v>
      </c>
      <c r="C2" s="58" t="s">
        <v>95</v>
      </c>
    </row>
    <row r="3">
      <c r="A3" s="59">
        <v>1.0</v>
      </c>
      <c r="B3" s="60" t="s">
        <v>96</v>
      </c>
      <c r="C3" s="60" t="s">
        <v>97</v>
      </c>
    </row>
    <row r="4">
      <c r="A4" s="59">
        <v>2.0</v>
      </c>
      <c r="B4" s="60" t="s">
        <v>98</v>
      </c>
      <c r="C4" s="60" t="s">
        <v>99</v>
      </c>
    </row>
    <row r="5">
      <c r="A5" s="59">
        <v>3.0</v>
      </c>
      <c r="B5" s="60" t="s">
        <v>100</v>
      </c>
      <c r="C5" s="60" t="s">
        <v>101</v>
      </c>
    </row>
    <row r="6" ht="14.25" customHeight="1"/>
    <row r="7" ht="14.25" customHeight="1">
      <c r="A7" s="57" t="s">
        <v>102</v>
      </c>
    </row>
    <row r="8" ht="14.25" customHeight="1">
      <c r="A8" s="58" t="s">
        <v>60</v>
      </c>
      <c r="B8" s="58" t="s">
        <v>94</v>
      </c>
      <c r="C8" s="58" t="s">
        <v>95</v>
      </c>
    </row>
    <row r="9">
      <c r="A9" s="59">
        <v>1.0</v>
      </c>
      <c r="B9" s="60" t="s">
        <v>103</v>
      </c>
      <c r="C9" s="60" t="s">
        <v>104</v>
      </c>
    </row>
    <row r="10">
      <c r="A10" s="59">
        <v>2.0</v>
      </c>
      <c r="B10" s="60" t="s">
        <v>105</v>
      </c>
      <c r="C10" s="60" t="s">
        <v>106</v>
      </c>
    </row>
    <row r="11">
      <c r="A11" s="59">
        <v>3.0</v>
      </c>
      <c r="B11" s="60" t="s">
        <v>107</v>
      </c>
      <c r="C11" s="60" t="s">
        <v>108</v>
      </c>
    </row>
    <row r="12" ht="14.25" customHeight="1"/>
    <row r="13" ht="14.25" customHeight="1">
      <c r="A13" s="57" t="s">
        <v>109</v>
      </c>
    </row>
    <row r="14" ht="14.25" customHeight="1">
      <c r="A14" s="58" t="s">
        <v>60</v>
      </c>
      <c r="B14" s="58" t="s">
        <v>94</v>
      </c>
      <c r="C14" s="58" t="s">
        <v>95</v>
      </c>
    </row>
    <row r="15">
      <c r="A15" s="59">
        <v>1.0</v>
      </c>
      <c r="B15" s="60" t="s">
        <v>110</v>
      </c>
      <c r="C15" s="60" t="s">
        <v>111</v>
      </c>
    </row>
    <row r="16">
      <c r="A16" s="59">
        <v>2.0</v>
      </c>
      <c r="B16" s="60" t="s">
        <v>112</v>
      </c>
      <c r="C16" s="60" t="s">
        <v>113</v>
      </c>
    </row>
    <row r="17">
      <c r="A17" s="59">
        <v>3.0</v>
      </c>
      <c r="B17" s="60" t="s">
        <v>114</v>
      </c>
      <c r="C17" s="60" t="s">
        <v>115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printOptions/>
  <pageMargins bottom="0.75" footer="0.0" header="0.0" left="0.7" right="0.7" top="0.75"/>
  <pageSetup orientation="landscape"/>
  <drawing r:id="rId1"/>
</worksheet>
</file>